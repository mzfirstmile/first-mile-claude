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ase Summary" sheetId="1" state="visible" r:id="rId1"/>
    <sheet xmlns:r="http://schemas.openxmlformats.org/officeDocument/2006/relationships" name="Remaining Obligations" sheetId="2" state="visible" r:id="rId2"/>
    <sheet xmlns:r="http://schemas.openxmlformats.org/officeDocument/2006/relationships" name="Net Effective Economics" sheetId="3" state="visible" r:id="rId3"/>
    <sheet xmlns:r="http://schemas.openxmlformats.org/officeDocument/2006/relationships" name="NPV Buyout" sheetId="4" state="visible" r:id="rId4"/>
    <sheet xmlns:r="http://schemas.openxmlformats.org/officeDocument/2006/relationships" name="Direct Deal Analysi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\$#,##0"/>
    <numFmt numFmtId="167" formatCode="$#,##0"/>
    <numFmt numFmtId="168" formatCode="$#,##0.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0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color rgb="00C00000"/>
      <sz val="11"/>
    </font>
  </fonts>
  <fills count="1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0066CC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 wrapText="1"/>
    </xf>
    <xf numFmtId="164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7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 wrapText="1"/>
    </xf>
    <xf numFmtId="164" fontId="7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3" fillId="6" borderId="0" pivotButton="0" quotePrefix="0" xfId="0"/>
    <xf numFmtId="0" fontId="0" fillId="6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0" fontId="13" fillId="8" borderId="0" pivotButton="0" quotePrefix="0" xfId="0"/>
    <xf numFmtId="167" fontId="13" fillId="8" borderId="0" applyAlignment="1" pivotButton="0" quotePrefix="0" xfId="0">
      <alignment horizontal="center"/>
    </xf>
    <xf numFmtId="0" fontId="13" fillId="9" borderId="0" pivotButton="0" quotePrefix="0" xfId="0"/>
    <xf numFmtId="0" fontId="0" fillId="9" borderId="0" pivotButton="0" quotePrefix="0" xfId="0"/>
    <xf numFmtId="0" fontId="13" fillId="0" borderId="0" pivotButton="0" quotePrefix="0" xfId="0"/>
    <xf numFmtId="167" fontId="13" fillId="0" borderId="0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0" fontId="17" fillId="0" borderId="0" pivotButton="0" quotePrefix="0" xfId="0"/>
    <xf numFmtId="167" fontId="17" fillId="0" borderId="0" applyAlignment="1" pivotButton="0" quotePrefix="0" xfId="0">
      <alignment horizontal="center"/>
    </xf>
    <xf numFmtId="0" fontId="18" fillId="0" borderId="0" pivotButton="0" quotePrefix="0" xfId="0"/>
    <xf numFmtId="168" fontId="18" fillId="0" borderId="0" applyAlignment="1" pivotButton="0" quotePrefix="0" xfId="0">
      <alignment horizontal="center"/>
    </xf>
    <xf numFmtId="0" fontId="13" fillId="10" borderId="0" pivotButton="0" quotePrefix="0" xfId="0"/>
    <xf numFmtId="168" fontId="13" fillId="10" borderId="0" applyAlignment="1" pivotButton="0" quotePrefix="0" xfId="0">
      <alignment horizontal="center"/>
    </xf>
    <xf numFmtId="165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7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2" min="1" max="1"/>
    <col width="22" customWidth="1" style="22" min="2" max="2"/>
    <col width="18" customWidth="1" style="22" min="3" max="3"/>
  </cols>
  <sheetData>
    <row r="1" ht="17.35" customHeight="1" s="23">
      <c r="A1" s="24" t="inlineStr">
        <is>
          <t>41 Flatbush Ave — Gimlet Media (Spotify) Lease Buyout Analysis</t>
        </is>
      </c>
    </row>
    <row r="2" ht="15" customHeight="1" s="23">
      <c r="A2" s="25" t="inlineStr">
        <is>
          <t>Prepared: March 30, 2026</t>
        </is>
      </c>
    </row>
    <row r="4" ht="15" customHeight="1" s="23">
      <c r="A4" s="26" t="inlineStr">
        <is>
          <t>LEASE DETAILS</t>
        </is>
      </c>
      <c r="B4" s="27" t="n"/>
      <c r="C4" s="27" t="n"/>
    </row>
    <row r="5" ht="15" customHeight="1" s="23">
      <c r="A5" s="28" t="inlineStr">
        <is>
          <t>Tenant</t>
        </is>
      </c>
      <c r="B5" s="29" t="inlineStr">
        <is>
          <t>Gimlet Media, Inc. (Spotify)</t>
        </is>
      </c>
    </row>
    <row r="6" ht="15" customHeight="1" s="23">
      <c r="A6" s="28" t="inlineStr">
        <is>
          <t>Suite</t>
        </is>
      </c>
      <c r="B6" s="29" t="inlineStr">
        <is>
          <t>700 (Full Floor 7)</t>
        </is>
      </c>
    </row>
    <row r="7" ht="15" customHeight="1" s="23">
      <c r="A7" s="28" t="inlineStr">
        <is>
          <t>Square Footage</t>
        </is>
      </c>
      <c r="B7" s="29" t="inlineStr">
        <is>
          <t>26,964 SF</t>
        </is>
      </c>
    </row>
    <row r="8" ht="15" customHeight="1" s="23">
      <c r="A8" s="28" t="inlineStr">
        <is>
          <t>Building Share</t>
        </is>
      </c>
      <c r="B8" s="29" t="inlineStr">
        <is>
          <t>10.02%</t>
        </is>
      </c>
    </row>
    <row r="9" ht="15" customHeight="1" s="23">
      <c r="A9" s="28" t="inlineStr">
        <is>
          <t>Lease Expiration</t>
        </is>
      </c>
      <c r="B9" s="29" t="inlineStr">
        <is>
          <t>03/31/2029</t>
        </is>
      </c>
    </row>
    <row r="10" ht="15" customHeight="1" s="23">
      <c r="A10" s="28" t="inlineStr">
        <is>
          <t>Remaining Term</t>
        </is>
      </c>
      <c r="B10" s="29" t="inlineStr">
        <is>
          <t>36 months (Apr 2026 – Mar 2029)</t>
        </is>
      </c>
    </row>
    <row r="11" ht="15" customHeight="1" s="23">
      <c r="A11" s="28" t="inlineStr">
        <is>
          <t>Current Monthly Rent</t>
        </is>
      </c>
      <c r="B11" s="29" t="inlineStr">
        <is>
          <t>$159,104.54</t>
        </is>
      </c>
    </row>
    <row r="12" ht="15" customHeight="1" s="23">
      <c r="A12" s="28" t="inlineStr">
        <is>
          <t>Current Annual Rent</t>
        </is>
      </c>
      <c r="B12" s="29" t="inlineStr">
        <is>
          <t>$1,909,254.48</t>
        </is>
      </c>
    </row>
    <row r="13" ht="15" customHeight="1" s="23">
      <c r="A13" s="28" t="inlineStr">
        <is>
          <t>Rent PSF</t>
        </is>
      </c>
      <c r="B13" s="29" t="inlineStr">
        <is>
          <t>$70.81/yr</t>
        </is>
      </c>
    </row>
    <row r="14" ht="15" customHeight="1" s="23">
      <c r="A14" s="28" t="inlineStr">
        <is>
          <t>Annual Escalation</t>
        </is>
      </c>
      <c r="B14" s="29" t="inlineStr">
        <is>
          <t>~1.4%</t>
        </is>
      </c>
    </row>
    <row r="15" ht="15" customHeight="1" s="23">
      <c r="A15" s="28" t="inlineStr">
        <is>
          <t>Sublease</t>
        </is>
      </c>
      <c r="B15" s="29" t="inlineStr">
        <is>
          <t>NBA 2K occupies ~50% (~13,482 SF)</t>
        </is>
      </c>
    </row>
  </sheetData>
  <mergeCells count="11">
    <mergeCell ref="B13:C13"/>
    <mergeCell ref="B6:C6"/>
    <mergeCell ref="B15:C15"/>
    <mergeCell ref="B7:C7"/>
    <mergeCell ref="B11:C11"/>
    <mergeCell ref="B5:C5"/>
    <mergeCell ref="B10:C10"/>
    <mergeCell ref="B14:C14"/>
    <mergeCell ref="B9:C9"/>
    <mergeCell ref="B8:C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2" min="1" max="1"/>
    <col width="18" customWidth="1" style="22" min="2" max="6"/>
  </cols>
  <sheetData>
    <row r="1" ht="17.35" customHeight="1" s="23">
      <c r="A1" s="24" t="inlineStr">
        <is>
          <t>Remaining Lease Obligations — Gimlet Media</t>
        </is>
      </c>
    </row>
    <row r="3" ht="26.85" customHeight="1" s="23">
      <c r="A3" s="30" t="n"/>
      <c r="B3" s="30" t="inlineStr">
        <is>
          <t>Year 1
(Apr 26–Mar 27)</t>
        </is>
      </c>
      <c r="C3" s="30" t="inlineStr">
        <is>
          <t>Year 2
(Apr 27–Mar 28)</t>
        </is>
      </c>
      <c r="D3" s="30" t="inlineStr">
        <is>
          <t>Year 3
(Apr 28–Mar 29)</t>
        </is>
      </c>
      <c r="E3" s="30" t="inlineStr">
        <is>
          <t>Total</t>
        </is>
      </c>
    </row>
    <row r="4" ht="15" customHeight="1" s="23">
      <c r="A4" s="28" t="inlineStr">
        <is>
          <t>Base Rent</t>
        </is>
      </c>
      <c r="B4" s="31" t="n">
        <v>1909254.48</v>
      </c>
      <c r="C4" s="31" t="n">
        <v>1935984.04272</v>
      </c>
      <c r="D4" s="31" t="n">
        <v>1963087.81931808</v>
      </c>
      <c r="E4" s="31">
        <f>SUM(B4:D4)</f>
        <v/>
      </c>
    </row>
    <row r="5" ht="15" customHeight="1" s="23">
      <c r="A5" s="29" t="inlineStr">
        <is>
          <t>RE Tax Recovery</t>
        </is>
      </c>
      <c r="B5" s="31" t="n">
        <v>18744.8</v>
      </c>
      <c r="C5" s="31" t="n">
        <v>19119.696</v>
      </c>
      <c r="D5" s="31" t="n">
        <v>19494.592</v>
      </c>
      <c r="E5" s="31">
        <f>SUM(B5:D5)</f>
        <v/>
      </c>
    </row>
    <row r="6" ht="15" customHeight="1" s="23">
      <c r="A6" s="29" t="inlineStr">
        <is>
          <t>Electric Submeter</t>
        </is>
      </c>
      <c r="B6" s="31" t="n">
        <v>41868.67</v>
      </c>
      <c r="C6" s="31" t="n">
        <v>43124.7301</v>
      </c>
      <c r="D6" s="31" t="n">
        <v>44380.7902</v>
      </c>
      <c r="E6" s="31">
        <f>SUM(B6:D6)</f>
        <v/>
      </c>
    </row>
    <row r="7" ht="15" customHeight="1" s="23">
      <c r="A7" s="29" t="inlineStr">
        <is>
          <t>HVAC Maintenance</t>
        </is>
      </c>
      <c r="B7" s="31" t="n">
        <v>2460</v>
      </c>
      <c r="C7" s="31" t="n">
        <v>2460</v>
      </c>
      <c r="D7" s="31" t="n">
        <v>2460</v>
      </c>
      <c r="E7" s="31">
        <f>SUM(B7:D7)</f>
        <v/>
      </c>
    </row>
    <row r="8" ht="15" customHeight="1" s="23">
      <c r="A8" s="29" t="inlineStr">
        <is>
          <t>Work Orders (est.)</t>
        </is>
      </c>
      <c r="B8" s="31" t="n">
        <v>1000</v>
      </c>
      <c r="C8" s="31" t="n">
        <v>1000</v>
      </c>
      <c r="D8" s="31" t="n">
        <v>1000</v>
      </c>
      <c r="E8" s="31">
        <f>SUM(B8:D8)</f>
        <v/>
      </c>
    </row>
    <row r="9" ht="15" customHeight="1" s="23">
      <c r="A9" s="32" t="inlineStr">
        <is>
          <t>TOTAL</t>
        </is>
      </c>
      <c r="B9" s="33">
        <f>SUM(B4:B8)</f>
        <v/>
      </c>
      <c r="C9" s="33">
        <f>SUM(C4:C8)</f>
        <v/>
      </c>
      <c r="D9" s="33">
        <f>SUM(D4:D8)</f>
        <v/>
      </c>
      <c r="E9" s="33">
        <f>SUM(E4:E8)</f>
        <v/>
      </c>
    </row>
    <row r="11" ht="15" customHeight="1" s="23">
      <c r="A11" s="28" t="inlineStr">
        <is>
          <t>Monthly Rate</t>
        </is>
      </c>
      <c r="B11" s="34">
        <f>B9/12</f>
        <v/>
      </c>
      <c r="C11" s="34">
        <f>C9/12</f>
        <v/>
      </c>
      <c r="D11" s="34">
        <f>D9/12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style="23" min="1" max="1"/>
    <col width="18" customWidth="1" style="23" min="2" max="2"/>
    <col width="18" customWidth="1" style="23" min="3" max="3"/>
    <col width="18" customWidth="1" style="23" min="4" max="4"/>
  </cols>
  <sheetData>
    <row r="1">
      <c r="A1" s="35" t="inlineStr">
        <is>
          <t>Net Effective Economics — Minimum Spotify Buyout</t>
        </is>
      </c>
    </row>
    <row r="2">
      <c r="A2" s="36" t="inlineStr">
        <is>
          <t>What buyout from Spotify makes the NBA 2K direct deal economics work?</t>
        </is>
      </c>
    </row>
    <row r="4">
      <c r="A4" s="37" t="inlineStr">
        <is>
          <t>DEAL ASSUMPTIONS</t>
        </is>
      </c>
      <c r="B4" s="38" t="n"/>
      <c r="C4" s="38" t="n"/>
      <c r="D4" s="38" t="n"/>
    </row>
    <row r="5">
      <c r="A5" s="39" t="inlineStr">
        <is>
          <t>NBA 2K Lease Term</t>
        </is>
      </c>
      <c r="B5" s="40" t="inlineStr">
        <is>
          <t>10 Years</t>
        </is>
      </c>
    </row>
    <row r="6">
      <c r="A6" s="39" t="inlineStr">
        <is>
          <t>NBA 2K Annual Escalations</t>
        </is>
      </c>
      <c r="B6" s="40" t="inlineStr">
        <is>
          <t>3.0%</t>
        </is>
      </c>
    </row>
    <row r="7">
      <c r="A7" s="39" t="inlineStr">
        <is>
          <t>Tenant Improvements</t>
        </is>
      </c>
      <c r="B7" s="40" t="inlineStr">
        <is>
          <t>$120 PSF</t>
        </is>
      </c>
    </row>
    <row r="8">
      <c r="A8" s="39" t="inlineStr">
        <is>
          <t>TI Total (26,964 SF)</t>
        </is>
      </c>
      <c r="B8" s="40" t="inlineStr">
        <is>
          <t>$3,235,680</t>
        </is>
      </c>
    </row>
    <row r="9">
      <c r="A9" s="39" t="inlineStr">
        <is>
          <t>Leasing Commission</t>
        </is>
      </c>
      <c r="B9" s="40" t="inlineStr">
        <is>
          <t>5% of 10-yr Gross Rent</t>
        </is>
      </c>
    </row>
    <row r="10">
      <c r="A10" s="39" t="inlineStr">
        <is>
          <t>Remaining Gimlet Term</t>
        </is>
      </c>
      <c r="B10" s="40" t="inlineStr">
        <is>
          <t>36 Months</t>
        </is>
      </c>
    </row>
    <row r="11">
      <c r="A11" s="39" t="inlineStr">
        <is>
          <t>Gimlet Escalation</t>
        </is>
      </c>
      <c r="B11" s="40" t="inlineStr">
        <is>
          <t>1.4%/yr</t>
        </is>
      </c>
    </row>
    <row r="14">
      <c r="A14" s="41" t="inlineStr">
        <is>
          <t>Cost Component</t>
        </is>
      </c>
      <c r="B14" s="41" t="inlineStr">
        <is>
          <t>$52 PSF</t>
        </is>
      </c>
      <c r="C14" s="41" t="inlineStr">
        <is>
          <t>$53 PSF</t>
        </is>
      </c>
      <c r="D14" s="41" t="inlineStr">
        <is>
          <t>$55 PSF</t>
        </is>
      </c>
    </row>
    <row r="15">
      <c r="A15" s="39" t="inlineStr">
        <is>
          <t>Lost Rent (3yr Gimlet premium)</t>
        </is>
      </c>
      <c r="B15" s="42" t="n">
        <v>1601942</v>
      </c>
      <c r="C15" s="42" t="n">
        <v>1521050</v>
      </c>
      <c r="D15" s="42" t="n">
        <v>1359266</v>
      </c>
    </row>
    <row r="16">
      <c r="A16" s="39" t="inlineStr">
        <is>
          <t>Tenant Improvements ($120 PSF)</t>
        </is>
      </c>
      <c r="B16" s="42" t="n">
        <v>3235680</v>
      </c>
      <c r="C16" s="42" t="n">
        <v>3235680</v>
      </c>
      <c r="D16" s="42" t="n">
        <v>3235680</v>
      </c>
    </row>
    <row r="17">
      <c r="A17" s="39" t="inlineStr">
        <is>
          <t>Leasing Commission (5%)</t>
        </is>
      </c>
      <c r="B17" s="42" t="n">
        <v>803691</v>
      </c>
      <c r="C17" s="42" t="n">
        <v>819147</v>
      </c>
      <c r="D17" s="42" t="n">
        <v>850058</v>
      </c>
    </row>
    <row r="18">
      <c r="A18" s="43" t="inlineStr">
        <is>
          <t>TOTAL DEAL COST</t>
        </is>
      </c>
      <c r="B18" s="44" t="n">
        <v>5641314</v>
      </c>
      <c r="C18" s="44" t="n">
        <v>5575877</v>
      </c>
      <c r="D18" s="44" t="n">
        <v>5445004</v>
      </c>
    </row>
    <row r="20">
      <c r="A20" s="45" t="inlineStr">
        <is>
          <t>MINIMUM SPOTIFY BUYOUT</t>
        </is>
      </c>
      <c r="B20" s="46" t="n"/>
      <c r="C20" s="46" t="n"/>
      <c r="D20" s="46" t="n"/>
    </row>
    <row r="21">
      <c r="A21" s="47" t="inlineStr">
        <is>
          <t>Breakeven Buyout</t>
        </is>
      </c>
      <c r="B21" s="48" t="n">
        <v>5641314</v>
      </c>
      <c r="C21" s="48" t="n">
        <v>5575877</v>
      </c>
      <c r="D21" s="48" t="n">
        <v>5445004</v>
      </c>
    </row>
    <row r="22">
      <c r="A22" s="39" t="inlineStr">
        <is>
          <t>Per SF</t>
        </is>
      </c>
      <c r="B22" s="49" t="n">
        <v>209.22</v>
      </c>
      <c r="C22" s="49" t="n">
        <v>206.79</v>
      </c>
      <c r="D22" s="49" t="n">
        <v>201.94</v>
      </c>
    </row>
    <row r="24">
      <c r="A24" s="50" t="inlineStr">
        <is>
          <t>Recommended Ask (+$500K cushion)</t>
        </is>
      </c>
      <c r="B24" s="51" t="n">
        <v>6141314</v>
      </c>
      <c r="C24" s="51" t="n">
        <v>6075877</v>
      </c>
      <c r="D24" s="51" t="n">
        <v>5945004</v>
      </c>
    </row>
    <row r="25">
      <c r="A25" s="52" t="inlineStr">
        <is>
          <t>Per SF</t>
        </is>
      </c>
      <c r="B25" s="53" t="n">
        <v>227.76</v>
      </c>
      <c r="C25" s="53" t="n">
        <v>225.33</v>
      </c>
      <c r="D25" s="53" t="n">
        <v>220.48</v>
      </c>
    </row>
    <row r="28">
      <c r="A28" s="37" t="inlineStr">
        <is>
          <t>NBA 2K NET EFFECTIVE RENT</t>
        </is>
      </c>
      <c r="B28" s="38" t="n"/>
      <c r="C28" s="38" t="n"/>
      <c r="D28" s="38" t="n"/>
    </row>
    <row r="29">
      <c r="A29" s="39" t="inlineStr">
        <is>
          <t>Gross Rent</t>
        </is>
      </c>
      <c r="B29" s="49" t="n">
        <v>52</v>
      </c>
      <c r="C29" s="49" t="n">
        <v>53</v>
      </c>
      <c r="D29" s="49" t="n">
        <v>55</v>
      </c>
    </row>
    <row r="30">
      <c r="A30" s="39" t="inlineStr">
        <is>
          <t>Less: TI Amortization (10yr)</t>
        </is>
      </c>
      <c r="B30" s="49" t="n">
        <v>-12</v>
      </c>
      <c r="C30" s="49" t="n">
        <v>-12</v>
      </c>
      <c r="D30" s="49" t="n">
        <v>-12</v>
      </c>
    </row>
    <row r="31">
      <c r="A31" s="39" t="inlineStr">
        <is>
          <t>Less: LC Amortization (10yr)</t>
        </is>
      </c>
      <c r="B31" s="49" t="n">
        <v>-2.98</v>
      </c>
      <c r="C31" s="49" t="n">
        <v>-3.04</v>
      </c>
      <c r="D31" s="49" t="n">
        <v>-3.15</v>
      </c>
    </row>
    <row r="32">
      <c r="A32" s="54" t="inlineStr">
        <is>
          <t>Net Effective Rent (PSF)</t>
        </is>
      </c>
      <c r="B32" s="55" t="n">
        <v>44.63</v>
      </c>
      <c r="C32" s="55" t="n">
        <v>45.72</v>
      </c>
      <c r="D32" s="55" t="n">
        <v>47.9</v>
      </c>
    </row>
  </sheetData>
  <mergeCells count="7">
    <mergeCell ref="B10:D10"/>
    <mergeCell ref="B11:D11"/>
    <mergeCell ref="B5:D5"/>
    <mergeCell ref="B8:D8"/>
    <mergeCell ref="B9:D9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2" min="1" max="1"/>
    <col width="18" customWidth="1" style="22" min="2" max="5"/>
  </cols>
  <sheetData>
    <row r="1" ht="17.35" customHeight="1" s="23">
      <c r="A1" s="24" t="inlineStr">
        <is>
          <t>NPV Buyout Analysis</t>
        </is>
      </c>
    </row>
    <row r="3" ht="15" customHeight="1" s="23">
      <c r="A3" s="26" t="inlineStr">
        <is>
          <t>ASSUMPTIONS</t>
        </is>
      </c>
      <c r="B3" s="27" t="n"/>
      <c r="C3" s="27" t="n"/>
    </row>
    <row r="4" ht="15" customHeight="1" s="23">
      <c r="A4" s="29" t="inlineStr">
        <is>
          <t>Discount Rate (Low)</t>
        </is>
      </c>
      <c r="B4" s="56" t="n">
        <v>0.06</v>
      </c>
    </row>
    <row r="5" ht="15" customHeight="1" s="23">
      <c r="A5" s="29" t="inlineStr">
        <is>
          <t>Discount Rate (Mid)</t>
        </is>
      </c>
      <c r="B5" s="56" t="n">
        <v>0.07000000000000001</v>
      </c>
    </row>
    <row r="6" ht="15" customHeight="1" s="23">
      <c r="A6" s="29" t="inlineStr">
        <is>
          <t>Discount Rate (High)</t>
        </is>
      </c>
      <c r="B6" s="56" t="n">
        <v>0.08</v>
      </c>
    </row>
    <row r="7" ht="15" customHeight="1" s="23">
      <c r="A7" s="29" t="inlineStr">
        <is>
          <t>Annual Rent Escalation</t>
        </is>
      </c>
      <c r="B7" s="56" t="n">
        <v>0.014</v>
      </c>
    </row>
    <row r="8" ht="15" customHeight="1" s="23">
      <c r="A8" s="29" t="inlineStr">
        <is>
          <t>Remaining Months</t>
        </is>
      </c>
      <c r="B8" s="57" t="n">
        <v>36</v>
      </c>
    </row>
    <row r="11" ht="15" customHeight="1" s="23">
      <c r="A11" s="26" t="inlineStr">
        <is>
          <t>NPV RESULTS</t>
        </is>
      </c>
      <c r="B11" s="27" t="n"/>
      <c r="C11" s="27" t="n"/>
    </row>
    <row r="12" ht="15" customHeight="1" s="23">
      <c r="A12" s="28" t="inlineStr">
        <is>
          <t>Total Remaining (Undiscounted)</t>
        </is>
      </c>
      <c r="B12" s="58" t="n">
        <v>6000547</v>
      </c>
    </row>
    <row r="13" ht="15" customHeight="1" s="23">
      <c r="A13" s="29" t="inlineStr">
        <is>
          <t>NPV @ 6%</t>
        </is>
      </c>
      <c r="B13" s="59" t="n">
        <v>5476062</v>
      </c>
    </row>
    <row r="14" ht="15" customHeight="1" s="23">
      <c r="A14" s="29" t="inlineStr">
        <is>
          <t>NPV @ 7%</t>
        </is>
      </c>
      <c r="B14" s="59" t="n">
        <v>5394859</v>
      </c>
    </row>
    <row r="15" ht="15" customHeight="1" s="23">
      <c r="A15" s="29" t="inlineStr">
        <is>
          <t>NPV @ 8%</t>
        </is>
      </c>
      <c r="B15" s="59" t="n">
        <v>5315318</v>
      </c>
    </row>
    <row r="17" ht="15" customHeight="1" s="23">
      <c r="A17" s="60" t="inlineStr">
        <is>
          <t>RECOMMENDED BUYOUT RANGE</t>
        </is>
      </c>
      <c r="B17" s="61" t="n"/>
      <c r="C17" s="61" t="n"/>
    </row>
    <row r="18" ht="15" customHeight="1" s="23">
      <c r="A18" s="29" t="inlineStr">
        <is>
          <t>Low End</t>
        </is>
      </c>
      <c r="B18" s="62" t="n">
        <v>5300000</v>
      </c>
    </row>
    <row r="19" ht="15" customHeight="1" s="23">
      <c r="A19" s="28" t="inlineStr">
        <is>
          <t>Fair Value (Mid)</t>
        </is>
      </c>
      <c r="B19" s="58" t="n">
        <v>5400000</v>
      </c>
    </row>
    <row r="20" ht="15" customHeight="1" s="23">
      <c r="A20" s="29" t="inlineStr">
        <is>
          <t>High End</t>
        </is>
      </c>
      <c r="B20" s="62" t="n">
        <v>5500000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22" min="1" max="1"/>
    <col width="18" customWidth="1" style="22" min="2" max="4"/>
  </cols>
  <sheetData>
    <row r="1" ht="17.35" customHeight="1" s="23">
      <c r="A1" s="24" t="inlineStr">
        <is>
          <t>NBA 2K Direct Deal vs. Gimlet Lease</t>
        </is>
      </c>
    </row>
    <row r="3" ht="15" customHeight="1" s="23">
      <c r="A3" s="30" t="n"/>
      <c r="B3" s="30" t="inlineStr">
        <is>
          <t>$52 PSF</t>
        </is>
      </c>
      <c r="C3" s="30" t="inlineStr">
        <is>
          <t>$53 PSF</t>
        </is>
      </c>
      <c r="D3" s="30" t="inlineStr">
        <is>
          <t>$55 PSF</t>
        </is>
      </c>
    </row>
    <row r="4" ht="15" customHeight="1" s="23">
      <c r="A4" s="29" t="inlineStr">
        <is>
          <t>Current Gimlet Rent (PSF)</t>
        </is>
      </c>
      <c r="B4" s="29" t="inlineStr">
        <is>
          <t>$70.81</t>
        </is>
      </c>
      <c r="C4" s="29" t="inlineStr">
        <is>
          <t>$70.81</t>
        </is>
      </c>
      <c r="D4" s="29" t="inlineStr">
        <is>
          <t>$70.81</t>
        </is>
      </c>
    </row>
    <row r="5" ht="15" customHeight="1" s="23">
      <c r="A5" s="29" t="inlineStr">
        <is>
          <t>NBA 2K Direct Rent (PSF)</t>
        </is>
      </c>
      <c r="B5" s="29" t="inlineStr">
        <is>
          <t>$52.00</t>
        </is>
      </c>
      <c r="C5" s="29" t="inlineStr">
        <is>
          <t>$53.00</t>
        </is>
      </c>
      <c r="D5" s="29" t="inlineStr">
        <is>
          <t>$55.00</t>
        </is>
      </c>
    </row>
    <row r="6" ht="15" customHeight="1" s="23">
      <c r="A6" s="29" t="n"/>
    </row>
    <row r="7" ht="15" customHeight="1" s="23">
      <c r="A7" s="29" t="inlineStr">
        <is>
          <t>NBA 2K Monthly Rent</t>
        </is>
      </c>
      <c r="B7" s="59" t="n">
        <v>116844</v>
      </c>
      <c r="C7" s="59" t="n">
        <v>119169</v>
      </c>
      <c r="D7" s="59" t="n">
        <v>123585</v>
      </c>
    </row>
    <row r="8" ht="15" customHeight="1" s="23">
      <c r="A8" s="29" t="inlineStr">
        <is>
          <t>Current Gimlet Monthly Rent</t>
        </is>
      </c>
      <c r="B8" s="59" t="n">
        <v>159105</v>
      </c>
      <c r="C8" s="59" t="n">
        <v>159105</v>
      </c>
      <c r="D8" s="59" t="n">
        <v>159105</v>
      </c>
    </row>
    <row r="9" ht="15" customHeight="1" s="23">
      <c r="A9" s="29" t="inlineStr">
        <is>
          <t>Monthly Rent Reduction</t>
        </is>
      </c>
      <c r="B9" s="59" t="n">
        <v>-42261</v>
      </c>
      <c r="C9" s="59" t="n">
        <v>-39936</v>
      </c>
      <c r="D9" s="59" t="n">
        <v>-35520</v>
      </c>
    </row>
    <row r="10" ht="15" customHeight="1" s="23">
      <c r="A10" s="29" t="n"/>
    </row>
    <row r="11" ht="15" customHeight="1" s="23">
      <c r="A11" s="32" t="inlineStr">
        <is>
          <t>3-Year Rent Differential (Gimlet Premium)</t>
        </is>
      </c>
      <c r="B11" s="63" t="n">
        <v>1601942</v>
      </c>
      <c r="C11" s="63" t="n">
        <v>1521050</v>
      </c>
      <c r="D11" s="63" t="n">
        <v>1359266</v>
      </c>
    </row>
    <row r="12" ht="15" customHeight="1" s="23">
      <c r="A12" s="29" t="n"/>
    </row>
    <row r="13" ht="15" customHeight="1" s="23">
      <c r="A13" s="29" t="inlineStr">
        <is>
          <t>NBA 2K 10-Year Lease Revenue</t>
        </is>
      </c>
      <c r="B13" s="59" t="n">
        <v>16073826</v>
      </c>
      <c r="C13" s="59" t="n">
        <v>16382938</v>
      </c>
      <c r="D13" s="59" t="n">
        <v>17001162</v>
      </c>
    </row>
    <row r="14" ht="15" customHeight="1" s="23">
      <c r="A14" s="29" t="inlineStr">
        <is>
          <t>Gimlet 3yr + Re-Lease 7yr Revenue</t>
        </is>
      </c>
      <c r="B14" s="59" t="n">
        <v>16552079</v>
      </c>
      <c r="C14" s="59" t="n">
        <v>16758690</v>
      </c>
      <c r="D14" s="59" t="n">
        <v>17171911</v>
      </c>
    </row>
    <row r="15" ht="15" customHeight="1" s="23">
      <c r="A15" s="32" t="inlineStr">
        <is>
          <t>10-Year Revenue Difference</t>
        </is>
      </c>
      <c r="B15" s="63" t="n">
        <v>-478253</v>
      </c>
      <c r="C15" s="63" t="n">
        <v>-375752</v>
      </c>
      <c r="D15" s="63" t="n">
        <v>-170749</v>
      </c>
    </row>
    <row r="18" ht="15" customHeight="1" s="23">
      <c r="A18" s="60" t="inlineStr">
        <is>
          <t>KEY STRATEGIC INSIGHT</t>
        </is>
      </c>
      <c r="B18" s="61" t="n"/>
      <c r="C18" s="61" t="n"/>
      <c r="D18" s="61" t="n"/>
    </row>
    <row r="19" ht="15" customHeight="1" s="23">
      <c r="A19" s="64" t="inlineStr">
        <is>
          <t>The buyout creates short-term rent reduction but significant long-term value:</t>
        </is>
      </c>
    </row>
    <row r="20" ht="15" customHeight="1" s="23">
      <c r="A20" s="64" t="n"/>
    </row>
    <row r="21" ht="15" customHeight="1" s="23">
      <c r="A21" s="64" t="inlineStr">
        <is>
          <t>1. WALT Improvement: Replacing a 3-yr remaining lease with a 10-yr direct lease</t>
        </is>
      </c>
    </row>
    <row r="22" ht="15" customHeight="1" s="23">
      <c r="A22" s="64" t="inlineStr">
        <is>
          <t xml:space="preserve">   dramatically improves the weighted average lease term (WALT)</t>
        </is>
      </c>
    </row>
    <row r="23" ht="15" customHeight="1" s="23">
      <c r="A23" s="64" t="n"/>
    </row>
    <row r="24" ht="15" customHeight="1" s="23">
      <c r="A24" s="64" t="inlineStr">
        <is>
          <t>2. Building Value at Sale: Longer WALT = lower cap rate = higher building valuation.</t>
        </is>
      </c>
    </row>
    <row r="25" ht="15" customHeight="1" s="23">
      <c r="A25" s="64" t="inlineStr">
        <is>
          <t xml:space="preserve">   A 25-50 bps cap rate improvement on a $200M+ building = $1-2M+ in value</t>
        </is>
      </c>
    </row>
    <row r="26" ht="15" customHeight="1" s="23">
      <c r="A26" s="64" t="n"/>
    </row>
    <row r="27" ht="15" customHeight="1" s="23">
      <c r="A27" s="64" t="inlineStr">
        <is>
          <t>3. Tenant Credit Quality: NBA 2K (Take-Two Interactive, NYSE: TTWO) is a</t>
        </is>
      </c>
    </row>
    <row r="28" ht="15" customHeight="1" s="23">
      <c r="A28" s="64" t="inlineStr">
        <is>
          <t xml:space="preserve">   strong credit tenant — attractive to institutional buyers</t>
        </is>
      </c>
    </row>
    <row r="29" ht="15" customHeight="1" s="23">
      <c r="A29" s="64" t="n"/>
    </row>
    <row r="30" ht="15" customHeight="1" s="23">
      <c r="A30" s="64" t="inlineStr">
        <is>
          <t>4. Eliminate Sublease Risk: Direct relationship removes Gimlet/Spotify as</t>
        </is>
      </c>
    </row>
    <row r="31" ht="15" customHeight="1" s="23">
      <c r="A31" s="64" t="inlineStr">
        <is>
          <t xml:space="preserve">   middleman and sublease complexity</t>
        </is>
      </c>
    </row>
  </sheetData>
  <mergeCells count="13">
    <mergeCell ref="A23:D23"/>
    <mergeCell ref="A27:D27"/>
    <mergeCell ref="A31:D31"/>
    <mergeCell ref="A22:D22"/>
    <mergeCell ref="A20:D20"/>
    <mergeCell ref="A21:D21"/>
    <mergeCell ref="A26:D26"/>
    <mergeCell ref="A30:D30"/>
    <mergeCell ref="A29:D29"/>
    <mergeCell ref="A25:D25"/>
    <mergeCell ref="A24:D24"/>
    <mergeCell ref="A19:D19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2026-03-31T00:06:14Z</dcterms:created>
  <dcterms:modified xmlns:dcterms="http://purl.org/dc/terms/" xmlns:xsi="http://www.w3.org/2001/XMLSchema-instance" xsi:type="dcterms:W3CDTF">2026-03-31T00:10:27Z</dcterms:modified>
  <cp:revision>0</cp:revision>
</cp:coreProperties>
</file>