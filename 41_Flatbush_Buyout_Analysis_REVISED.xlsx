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se Summary" sheetId="1" state="visible" r:id="rId3"/>
    <sheet name="Fixed Rent Schedule" sheetId="2" state="visible" r:id="rId4"/>
    <sheet name="Remaining Obligations" sheetId="3" state="visible" r:id="rId5"/>
    <sheet name="Buyout Economics" sheetId="4" state="visible" r:id="rId6"/>
    <sheet name="Deal 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<sst xmlns="http://schemas.openxmlformats.org/spreadsheetml/2006/main" count="150" uniqueCount="136">
  <si>
    <t xml:space="preserve">41 FLATBUSH AVE — GIMLET/SPOTIFY LEASE SUMMARY</t>
  </si>
  <si>
    <t xml:space="preserve">Based on Actual Executed Lease &amp; Sublease Documents</t>
  </si>
  <si>
    <t xml:space="preserve">Tenant</t>
  </si>
  <si>
    <t xml:space="preserve">Gimlet Media Inc. (now Spotify)</t>
  </si>
  <si>
    <t xml:space="preserve">Premises</t>
  </si>
  <si>
    <t xml:space="preserve">Suite 700, Floor 7</t>
  </si>
  <si>
    <t xml:space="preserve">Rentable SF</t>
  </si>
  <si>
    <t xml:space="preserve">Pro-Rata Share</t>
  </si>
  <si>
    <t xml:space="preserve">Lease Commencement</t>
  </si>
  <si>
    <t xml:space="preserve">April 1, 2019</t>
  </si>
  <si>
    <t xml:space="preserve">Lease Expiration</t>
  </si>
  <si>
    <t xml:space="preserve">March 31, 2029</t>
  </si>
  <si>
    <t xml:space="preserve">Total Term</t>
  </si>
  <si>
    <t xml:space="preserve">10 Years</t>
  </si>
  <si>
    <t xml:space="preserve">Remaining Term</t>
  </si>
  <si>
    <t xml:space="preserve">36 Months (Apr 2026 - Mar 2029)</t>
  </si>
  <si>
    <t xml:space="preserve">Escalation</t>
  </si>
  <si>
    <t xml:space="preserve">1.5% annually (10.07% bump at Year 6)</t>
  </si>
  <si>
    <t xml:space="preserve">Late Rate</t>
  </si>
  <si>
    <t xml:space="preserve">Lesser of 4% above Base Rate or max permitted by law</t>
  </si>
  <si>
    <t xml:space="preserve">SUBLEASE — NBA 2K</t>
  </si>
  <si>
    <t xml:space="preserve">Subtenant</t>
  </si>
  <si>
    <t xml:space="preserve">NBA 2K League (Take-Two Interactive)</t>
  </si>
  <si>
    <t xml:space="preserve">Sublease Rent</t>
  </si>
  <si>
    <t xml:space="preserve">$30,000/month</t>
  </si>
  <si>
    <t xml:space="preserve">Sublease SF</t>
  </si>
  <si>
    <t xml:space="preserve">~3,000 SF (expanded from original)</t>
  </si>
  <si>
    <t xml:space="preserve">Sublease Expiration</t>
  </si>
  <si>
    <t xml:space="preserve">December 31, 2028</t>
  </si>
  <si>
    <t xml:space="preserve">Sublease PSF</t>
  </si>
  <si>
    <t xml:space="preserve">$10.00 PSF (annual equivalent)</t>
  </si>
  <si>
    <t xml:space="preserve">Source</t>
  </si>
  <si>
    <t xml:space="preserve">1st Amendment to Sublease, executed</t>
  </si>
  <si>
    <t xml:space="preserve">GIMLET MASTER LEASE — FIXED RENT SCHEDULE</t>
  </si>
  <si>
    <t xml:space="preserve">Lease Year</t>
  </si>
  <si>
    <t xml:space="preserve">Period</t>
  </si>
  <si>
    <t xml:space="preserve">Annual Rent</t>
  </si>
  <si>
    <t xml:space="preserve">Monthly Rent</t>
  </si>
  <si>
    <t xml:space="preserve">PSF</t>
  </si>
  <si>
    <t xml:space="preserve">Status</t>
  </si>
  <si>
    <t xml:space="preserve">Apr 2019 – Mar 2020</t>
  </si>
  <si>
    <t xml:space="preserve">-</t>
  </si>
  <si>
    <t xml:space="preserve">Expired</t>
  </si>
  <si>
    <t xml:space="preserve">Apr 2020 – Mar 2021</t>
  </si>
  <si>
    <t xml:space="preserve">Apr 2021 – Mar 2022</t>
  </si>
  <si>
    <t xml:space="preserve">Apr 2022 – Mar 2023</t>
  </si>
  <si>
    <t xml:space="preserve">Apr 2023 – Mar 2024</t>
  </si>
  <si>
    <t xml:space="preserve">Apr 2024 – Mar 2025</t>
  </si>
  <si>
    <t xml:space="preserve">Apr 2025 – Mar 2026</t>
  </si>
  <si>
    <t xml:space="preserve">Apr 2026 – Mar 2027</t>
  </si>
  <si>
    <t xml:space="preserve">REMAINING</t>
  </si>
  <si>
    <t xml:space="preserve">Apr 2027 – Mar 2028</t>
  </si>
  <si>
    <t xml:space="preserve">Apr 2028 – Mar 2029</t>
  </si>
  <si>
    <t xml:space="preserve">TOTAL 10-YEAR</t>
  </si>
  <si>
    <t xml:space="preserve">REMAINING LEASE OBLIGATIONS — APR 2026 THROUGH MAR 2029</t>
  </si>
  <si>
    <t xml:space="preserve">KEY ASSUMPTIONS</t>
  </si>
  <si>
    <t xml:space="preserve">Additional Rent (Tax Escalation)</t>
  </si>
  <si>
    <t xml:space="preserve">/month — derived from budget vs base rent</t>
  </si>
  <si>
    <t xml:space="preserve">NBA 2K Sublease Rent</t>
  </si>
  <si>
    <t xml:space="preserve">/month — per 1st Amendment to Sublease</t>
  </si>
  <si>
    <t xml:space="preserve">NBA 2K Sublease Expires</t>
  </si>
  <si>
    <t xml:space="preserve">12/31/2028</t>
  </si>
  <si>
    <t xml:space="preserve">— 33 months remaining from Apr 2026</t>
  </si>
  <si>
    <t xml:space="preserve">Transition Downtime</t>
  </si>
  <si>
    <t xml:space="preserve">months assumed between tenants</t>
  </si>
  <si>
    <t xml:space="preserve">Base Rent</t>
  </si>
  <si>
    <t xml:space="preserve">Add'l Rent</t>
  </si>
  <si>
    <t xml:space="preserve">Gross Obligation</t>
  </si>
  <si>
    <t xml:space="preserve">NBA Sublease</t>
  </si>
  <si>
    <t xml:space="preserve">Net Cost to Spotify</t>
  </si>
  <si>
    <t xml:space="preserve">Monthly Net</t>
  </si>
  <si>
    <t xml:space="preserve">Year 8 (Apr 2026 – Mar 2027)</t>
  </si>
  <si>
    <t xml:space="preserve">Year 9 (Apr 2027 – Mar 2028)</t>
  </si>
  <si>
    <t xml:space="preserve">Year 10 (Apr 2028 – Mar 2029)</t>
  </si>
  <si>
    <t xml:space="preserve">TOTAL (36 months)</t>
  </si>
  <si>
    <t xml:space="preserve">NPV OF SPOTIFY'S NET OBLIGATION</t>
  </si>
  <si>
    <t xml:space="preserve">Discount Rate</t>
  </si>
  <si>
    <t xml:space="preserve">NPV (Gross)</t>
  </si>
  <si>
    <t xml:space="preserve">NPV (Net of NBA)</t>
  </si>
  <si>
    <t xml:space="preserve">BUYOUT ECONOMICS — NET EFFECTIVE ANALYSIS</t>
  </si>
  <si>
    <t xml:space="preserve">TILC ASSUMPTIONS</t>
  </si>
  <si>
    <t xml:space="preserve">Tenant Improvement Allowance (PSF)</t>
  </si>
  <si>
    <t xml:space="preserve">Total TI Cost</t>
  </si>
  <si>
    <t xml:space="preserve">Leasing Commission Rate</t>
  </si>
  <si>
    <t xml:space="preserve">New Lease Term (Years)</t>
  </si>
  <si>
    <t xml:space="preserve">Transition Downtime (Months)</t>
  </si>
  <si>
    <t xml:space="preserve">Current Monthly Rent (Gimlet)</t>
  </si>
  <si>
    <t xml:space="preserve">NBA 2K DIRECT DEAL SCENARIOS</t>
  </si>
  <si>
    <t xml:space="preserve">$52 PSF</t>
  </si>
  <si>
    <t xml:space="preserve">$53 PSF</t>
  </si>
  <si>
    <t xml:space="preserve">$55 PSF</t>
  </si>
  <si>
    <t xml:space="preserve">Asking Rent (PSF)</t>
  </si>
  <si>
    <t xml:space="preserve">10-Year Total Rent</t>
  </si>
  <si>
    <t xml:space="preserve">Leasing Commission (5%)</t>
  </si>
  <si>
    <t xml:space="preserve">Total TI</t>
  </si>
  <si>
    <t xml:space="preserve">Total TILC</t>
  </si>
  <si>
    <t xml:space="preserve">NBA Rent (33 of 36 mo)</t>
  </si>
  <si>
    <t xml:space="preserve">Gimlet Remaining (36 mo)</t>
  </si>
  <si>
    <t xml:space="preserve">BREAKEVEN BUYOUT</t>
  </si>
  <si>
    <t xml:space="preserve">Recommended Ask (+10%)</t>
  </si>
  <si>
    <t xml:space="preserve">Recommended Ask (+15%)</t>
  </si>
  <si>
    <t xml:space="preserve">SPOTIFY'S MOTIVATION TO EXIT</t>
  </si>
  <si>
    <t xml:space="preserve">Spotify's gross remaining obligation</t>
  </si>
  <si>
    <t xml:space="preserve">$5,808,482</t>
  </si>
  <si>
    <t xml:space="preserve">NBA 2K sublease offsets only</t>
  </si>
  <si>
    <t xml:space="preserve">$990,000 (17%)</t>
  </si>
  <si>
    <t xml:space="preserve">Spotify's NET remaining cost</t>
  </si>
  <si>
    <t xml:space="preserve">$4,818,482</t>
  </si>
  <si>
    <t xml:space="preserve">Spotify pays $66.19 PSF; NBA pays $13.35 PSF</t>
  </si>
  <si>
    <t xml:space="preserve">Spotify subsidizes ~$133,847/mo after NBA offset</t>
  </si>
  <si>
    <t xml:space="preserve">NPV of Spotify's net obligation (7%)</t>
  </si>
  <si>
    <t xml:space="preserve">$4,323,895</t>
  </si>
  <si>
    <t xml:space="preserve">A buyout at $4.0-4.5M saves Spotify money on NPV basis</t>
  </si>
  <si>
    <t xml:space="preserve">SCENARIO COMPARISON — KEEP GIMLET vs. BUYOUT + NBA 2K DIRECT</t>
  </si>
  <si>
    <t xml:space="preserve">3-Year Analysis Window (Apr 2026 – Mar 2029)</t>
  </si>
  <si>
    <t xml:space="preserve">Scenario A:
Keep Gimlet</t>
  </si>
  <si>
    <t xml:space="preserve">Scenario B:
$53 PSF NBA</t>
  </si>
  <si>
    <t xml:space="preserve">Scenario C:
$55 PSF NBA</t>
  </si>
  <si>
    <t xml:space="preserve">REVENUE (36 months)</t>
  </si>
  <si>
    <t xml:space="preserve">Gross Rent Collected</t>
  </si>
  <si>
    <t xml:space="preserve">Less: Downtime (3 mo lost rent)</t>
  </si>
  <si>
    <t xml:space="preserve">Spotify Buyout Payment</t>
  </si>
  <si>
    <t xml:space="preserve">Total Revenue</t>
  </si>
  <si>
    <t xml:space="preserve">COSTS</t>
  </si>
  <si>
    <t xml:space="preserve">Tenant Improvements ($120 PSF)</t>
  </si>
  <si>
    <t xml:space="preserve">Total Costs</t>
  </si>
  <si>
    <t xml:space="preserve">NET POSITION (3-YEAR)</t>
  </si>
  <si>
    <t xml:space="preserve">YEARS 4-10 (POST GIMLET EXPIRY)</t>
  </si>
  <si>
    <t xml:space="preserve">Annual Rent Years 4-10</t>
  </si>
  <si>
    <t xml:space="preserve">Must re-lease</t>
  </si>
  <si>
    <t xml:space="preserve">7-Year Total (Years 4-10)</t>
  </si>
  <si>
    <t xml:space="preserve">Unknown</t>
  </si>
  <si>
    <t xml:space="preserve">10-YEAR TOTAL NET</t>
  </si>
  <si>
    <t xml:space="preserve">Depends on re-lease</t>
  </si>
  <si>
    <t xml:space="preserve">RECOMMENDATION</t>
  </si>
  <si>
    <t xml:space="preserve">Pursue buyout at $5.7-5.9M from Spotify. At breakeven, we're cost-neutral in the 3-year window and gain a locked-in 10-year NBA 2K tenant at 4x the current sublease rate. Spotify saves $4.3M+ NPV vs staying — strong motivation to deal. The real value is locking NBA 2K at $53-55 PSF for 10 years vs. their current $13 PSF sublease.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</si>
</sst>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%"/>
    <numFmt numFmtId="167" formatCode="\$#,##0.00;&quot;($&quot;#,##0.00\);\-"/>
    <numFmt numFmtId="168" formatCode="\$#,##0.00"/>
    <numFmt numFmtId="169" formatCode="\$#,##0;&quot;($&quot;#,##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999999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2"/>
      <color rgb="FF008000"/>
      <name val="Cambria"/>
      <family val="0"/>
      <charset val="1"/>
    </font>
    <font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5" t="n">
        <v>26964</v>
      </c>
    </row>
    <row r="7" customFormat="false" ht="15" hidden="false" customHeight="false" outlineLevel="0" collapsed="false">
      <c r="A7" s="3" t="s">
        <v>7</v>
      </c>
      <c r="B7" s="6" t="n">
        <v>0.111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4" t="s">
        <v>11</v>
      </c>
    </row>
    <row r="10" customFormat="false" ht="15" hidden="false" customHeight="false" outlineLevel="0" collapsed="false">
      <c r="A10" s="3" t="s">
        <v>12</v>
      </c>
      <c r="B10" s="4" t="s">
        <v>13</v>
      </c>
    </row>
    <row r="11" customFormat="false" ht="15" hidden="false" customHeight="false" outlineLevel="0" collapsed="false">
      <c r="A11" s="3" t="s">
        <v>14</v>
      </c>
      <c r="B11" s="4" t="s">
        <v>15</v>
      </c>
    </row>
    <row r="12" customFormat="false" ht="15" hidden="false" customHeight="false" outlineLevel="0" collapsed="false">
      <c r="A12" s="3" t="s">
        <v>16</v>
      </c>
      <c r="B12" s="4" t="s">
        <v>17</v>
      </c>
    </row>
    <row r="13" customFormat="false" ht="15" hidden="false" customHeight="false" outlineLevel="0" collapsed="false">
      <c r="A13" s="3" t="s">
        <v>18</v>
      </c>
      <c r="B13" s="4" t="s">
        <v>19</v>
      </c>
    </row>
    <row r="15" customFormat="false" ht="15" hidden="false" customHeight="false" outlineLevel="0" collapsed="false">
      <c r="A15" s="7" t="s">
        <v>20</v>
      </c>
    </row>
    <row r="16" customFormat="false" ht="15" hidden="false" customHeight="false" outlineLevel="0" collapsed="false">
      <c r="A16" s="3" t="s">
        <v>21</v>
      </c>
      <c r="B16" s="0" t="s">
        <v>22</v>
      </c>
    </row>
    <row r="17" customFormat="false" ht="15" hidden="false" customHeight="false" outlineLevel="0" collapsed="false">
      <c r="A17" s="3" t="s">
        <v>23</v>
      </c>
      <c r="B17" s="0" t="s">
        <v>24</v>
      </c>
    </row>
    <row r="18" customFormat="false" ht="15" hidden="false" customHeight="false" outlineLevel="0" collapsed="false">
      <c r="A18" s="3" t="s">
        <v>25</v>
      </c>
      <c r="B18" s="0" t="s">
        <v>26</v>
      </c>
    </row>
    <row r="19" customFormat="false" ht="15" hidden="false" customHeight="false" outlineLevel="0" collapsed="false">
      <c r="A19" s="3" t="s">
        <v>27</v>
      </c>
      <c r="B19" s="0" t="s">
        <v>28</v>
      </c>
    </row>
    <row r="20" customFormat="false" ht="15" hidden="false" customHeight="false" outlineLevel="0" collapsed="false">
      <c r="A20" s="3" t="s">
        <v>29</v>
      </c>
      <c r="B20" s="0" t="s">
        <v>30</v>
      </c>
    </row>
    <row r="21" customFormat="false" ht="15" hidden="false" customHeight="false" outlineLevel="0" collapsed="false">
      <c r="A21" s="3" t="s">
        <v>31</v>
      </c>
      <c r="B21" s="0" t="s">
        <v>32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4" min="3" style="0" width="18"/>
    <col collapsed="false" customWidth="true" hidden="false" outlineLevel="0" max="6" min="5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8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s="8" t="s">
        <v>16</v>
      </c>
      <c r="G3" s="8" t="s">
        <v>39</v>
      </c>
    </row>
    <row r="4" customFormat="false" ht="15" hidden="false" customHeight="false" outlineLevel="0" collapsed="false">
      <c r="A4" s="0" t="n">
        <v>1</v>
      </c>
      <c r="B4" s="0" t="s">
        <v>40</v>
      </c>
      <c r="C4" s="9" t="n">
        <v>1483020</v>
      </c>
      <c r="D4" s="9" t="n">
        <v>123585</v>
      </c>
      <c r="E4" s="10" t="n">
        <f aca="false">C4/26964</f>
        <v>55</v>
      </c>
      <c r="F4" s="0" t="s">
        <v>41</v>
      </c>
      <c r="G4" s="0" t="s">
        <v>42</v>
      </c>
    </row>
    <row r="5" customFormat="false" ht="15" hidden="false" customHeight="false" outlineLevel="0" collapsed="false">
      <c r="A5" s="0" t="n">
        <v>2</v>
      </c>
      <c r="B5" s="0" t="s">
        <v>43</v>
      </c>
      <c r="C5" s="9" t="n">
        <v>1505265.3</v>
      </c>
      <c r="D5" s="9" t="n">
        <v>125438.78</v>
      </c>
      <c r="E5" s="10" t="n">
        <f aca="false">C5/26964</f>
        <v>55.825</v>
      </c>
      <c r="F5" s="11" t="n">
        <f aca="false">C5/C4-1</f>
        <v>0.0150000000000001</v>
      </c>
      <c r="G5" s="0" t="s">
        <v>42</v>
      </c>
    </row>
    <row r="6" customFormat="false" ht="15" hidden="false" customHeight="false" outlineLevel="0" collapsed="false">
      <c r="A6" s="0" t="n">
        <v>3</v>
      </c>
      <c r="B6" s="0" t="s">
        <v>44</v>
      </c>
      <c r="C6" s="9" t="n">
        <v>1527844.28</v>
      </c>
      <c r="D6" s="9" t="n">
        <v>127320.36</v>
      </c>
      <c r="E6" s="10" t="n">
        <f aca="false">C6/26964</f>
        <v>56.6623750185432</v>
      </c>
      <c r="F6" s="11" t="n">
        <f aca="false">C6/C5-1</f>
        <v>0.0150000003321673</v>
      </c>
      <c r="G6" s="0" t="s">
        <v>42</v>
      </c>
    </row>
    <row r="7" customFormat="false" ht="15" hidden="false" customHeight="false" outlineLevel="0" collapsed="false">
      <c r="A7" s="0" t="n">
        <v>4</v>
      </c>
      <c r="B7" s="0" t="s">
        <v>45</v>
      </c>
      <c r="C7" s="9" t="n">
        <v>1550761.94</v>
      </c>
      <c r="D7" s="9" t="n">
        <v>129230.16</v>
      </c>
      <c r="E7" s="10" t="n">
        <f aca="false">C7/26964</f>
        <v>57.5123104880582</v>
      </c>
      <c r="F7" s="11" t="n">
        <f aca="false">C7/C6-1</f>
        <v>0.0149999972510286</v>
      </c>
      <c r="G7" s="0" t="s">
        <v>42</v>
      </c>
    </row>
    <row r="8" customFormat="false" ht="15" hidden="false" customHeight="false" outlineLevel="0" collapsed="false">
      <c r="A8" s="0" t="n">
        <v>5</v>
      </c>
      <c r="B8" s="0" t="s">
        <v>46</v>
      </c>
      <c r="C8" s="9" t="n">
        <v>1574023.37</v>
      </c>
      <c r="D8" s="9" t="n">
        <v>131168.61</v>
      </c>
      <c r="E8" s="10" t="n">
        <f aca="false">C8/26964</f>
        <v>58.3749951787569</v>
      </c>
      <c r="F8" s="11" t="n">
        <f aca="false">C8/C7-1</f>
        <v>0.0150000005803599</v>
      </c>
      <c r="G8" s="0" t="s">
        <v>42</v>
      </c>
    </row>
    <row r="9" customFormat="false" ht="15" hidden="false" customHeight="false" outlineLevel="0" collapsed="false">
      <c r="A9" s="0" t="n">
        <v>6</v>
      </c>
      <c r="B9" s="0" t="s">
        <v>47</v>
      </c>
      <c r="C9" s="9" t="n">
        <v>1732453.72</v>
      </c>
      <c r="D9" s="9" t="n">
        <v>144371.14</v>
      </c>
      <c r="E9" s="10" t="n">
        <f aca="false">C9/26964</f>
        <v>64.2506200860406</v>
      </c>
      <c r="F9" s="11" t="n">
        <f aca="false">C9/C8-1</f>
        <v>0.100653111649797</v>
      </c>
      <c r="G9" s="0" t="s">
        <v>42</v>
      </c>
    </row>
    <row r="10" customFormat="false" ht="15" hidden="false" customHeight="false" outlineLevel="0" collapsed="false">
      <c r="A10" s="0" t="n">
        <v>7</v>
      </c>
      <c r="B10" s="0" t="s">
        <v>48</v>
      </c>
      <c r="C10" s="9" t="n">
        <v>1758440.53</v>
      </c>
      <c r="D10" s="9" t="n">
        <v>146536.71</v>
      </c>
      <c r="E10" s="10" t="n">
        <f aca="false">C10/26964</f>
        <v>65.2143795430945</v>
      </c>
      <c r="F10" s="11" t="n">
        <f aca="false">C10/C9-1</f>
        <v>0.0150000024243073</v>
      </c>
      <c r="G10" s="0" t="s">
        <v>42</v>
      </c>
    </row>
    <row r="11" customFormat="false" ht="15" hidden="false" customHeight="false" outlineLevel="0" collapsed="false">
      <c r="A11" s="12" t="n">
        <v>8</v>
      </c>
      <c r="B11" s="12" t="s">
        <v>49</v>
      </c>
      <c r="C11" s="13" t="n">
        <v>1784817.14</v>
      </c>
      <c r="D11" s="13" t="n">
        <v>148734.76</v>
      </c>
      <c r="E11" s="14" t="n">
        <f aca="false">C11/26964</f>
        <v>66.1925953122682</v>
      </c>
      <c r="F11" s="15" t="n">
        <f aca="false">C11/C10-1</f>
        <v>0.0150000011658056</v>
      </c>
      <c r="G11" s="16" t="s">
        <v>50</v>
      </c>
    </row>
    <row r="12" customFormat="false" ht="15" hidden="false" customHeight="false" outlineLevel="0" collapsed="false">
      <c r="A12" s="12" t="n">
        <v>9</v>
      </c>
      <c r="B12" s="12" t="s">
        <v>51</v>
      </c>
      <c r="C12" s="13" t="n">
        <v>1811589.39</v>
      </c>
      <c r="D12" s="13" t="n">
        <v>150965.78</v>
      </c>
      <c r="E12" s="14" t="n">
        <f aca="false">C12/26964</f>
        <v>67.1854839786382</v>
      </c>
      <c r="F12" s="15" t="n">
        <f aca="false">C12/C11-1</f>
        <v>0.0149999960220015</v>
      </c>
      <c r="G12" s="16" t="s">
        <v>50</v>
      </c>
    </row>
    <row r="13" customFormat="false" ht="15" hidden="false" customHeight="false" outlineLevel="0" collapsed="false">
      <c r="A13" s="12" t="n">
        <v>10</v>
      </c>
      <c r="B13" s="12" t="s">
        <v>52</v>
      </c>
      <c r="C13" s="13" t="n">
        <v>1838763.24</v>
      </c>
      <c r="D13" s="13" t="n">
        <v>153230.27</v>
      </c>
      <c r="E13" s="14" t="n">
        <f aca="false">C13/26964</f>
        <v>68.1932665776591</v>
      </c>
      <c r="F13" s="15" t="n">
        <f aca="false">C13/C12-1</f>
        <v>0.0150000050508134</v>
      </c>
      <c r="G13" s="16" t="s">
        <v>50</v>
      </c>
    </row>
    <row r="14" customFormat="false" ht="15" hidden="false" customHeight="false" outlineLevel="0" collapsed="false">
      <c r="A14" s="17"/>
      <c r="B14" s="18" t="s">
        <v>53</v>
      </c>
      <c r="C14" s="19" t="n">
        <f aca="false">SUM(C4:C13)</f>
        <v>16566978.91</v>
      </c>
      <c r="D14" s="17"/>
      <c r="E14" s="17"/>
      <c r="F14" s="17"/>
      <c r="G14" s="17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0" t="s">
        <v>55</v>
      </c>
    </row>
    <row r="4" customFormat="false" ht="15" hidden="false" customHeight="false" outlineLevel="0" collapsed="false">
      <c r="A4" s="3" t="s">
        <v>56</v>
      </c>
      <c r="B4" s="21" t="n">
        <v>10369.78</v>
      </c>
      <c r="C4" s="22" t="s">
        <v>57</v>
      </c>
    </row>
    <row r="5" customFormat="false" ht="15" hidden="false" customHeight="false" outlineLevel="0" collapsed="false">
      <c r="A5" s="3" t="s">
        <v>58</v>
      </c>
      <c r="B5" s="23" t="n">
        <v>30000</v>
      </c>
      <c r="C5" s="22" t="s">
        <v>59</v>
      </c>
    </row>
    <row r="6" customFormat="false" ht="15" hidden="false" customHeight="false" outlineLevel="0" collapsed="false">
      <c r="A6" s="3" t="s">
        <v>60</v>
      </c>
      <c r="B6" s="24" t="s">
        <v>61</v>
      </c>
      <c r="C6" s="22" t="s">
        <v>62</v>
      </c>
    </row>
    <row r="7" customFormat="false" ht="15" hidden="false" customHeight="false" outlineLevel="0" collapsed="false">
      <c r="A7" s="3" t="s">
        <v>63</v>
      </c>
      <c r="B7" s="23" t="n">
        <v>3</v>
      </c>
      <c r="C7" s="22" t="s">
        <v>64</v>
      </c>
    </row>
    <row r="9" customFormat="false" ht="15" hidden="false" customHeight="false" outlineLevel="0" collapsed="false">
      <c r="A9" s="8" t="s">
        <v>35</v>
      </c>
      <c r="B9" s="8" t="s">
        <v>65</v>
      </c>
      <c r="C9" s="8" t="s">
        <v>66</v>
      </c>
      <c r="D9" s="8" t="s">
        <v>67</v>
      </c>
      <c r="E9" s="8" t="s">
        <v>68</v>
      </c>
      <c r="F9" s="8" t="s">
        <v>69</v>
      </c>
      <c r="G9" s="8" t="s">
        <v>70</v>
      </c>
    </row>
    <row r="10" customFormat="false" ht="15" hidden="false" customHeight="false" outlineLevel="0" collapsed="false">
      <c r="A10" s="0" t="s">
        <v>71</v>
      </c>
      <c r="B10" s="9" t="n">
        <v>1784817.14</v>
      </c>
      <c r="C10" s="25" t="n">
        <f aca="false">B4*12</f>
        <v>124437.36</v>
      </c>
      <c r="D10" s="25" t="n">
        <f aca="false">B10+C10</f>
        <v>1909254.5</v>
      </c>
      <c r="E10" s="25" t="n">
        <f aca="false">B5*12</f>
        <v>360000</v>
      </c>
      <c r="F10" s="25" t="n">
        <f aca="false">D10-E10</f>
        <v>1549254.5</v>
      </c>
      <c r="G10" s="25" t="n">
        <f aca="false">F10/12</f>
        <v>129104.541666667</v>
      </c>
    </row>
    <row r="11" customFormat="false" ht="15" hidden="false" customHeight="false" outlineLevel="0" collapsed="false">
      <c r="A11" s="0" t="s">
        <v>72</v>
      </c>
      <c r="B11" s="9" t="n">
        <v>1811589.39</v>
      </c>
      <c r="C11" s="25" t="n">
        <f aca="false">B4*12</f>
        <v>124437.36</v>
      </c>
      <c r="D11" s="25" t="n">
        <f aca="false">B11+C11</f>
        <v>1936026.75</v>
      </c>
      <c r="E11" s="25" t="n">
        <f aca="false">B5*12</f>
        <v>360000</v>
      </c>
      <c r="F11" s="25" t="n">
        <f aca="false">D11-E11</f>
        <v>1576026.75</v>
      </c>
      <c r="G11" s="25" t="n">
        <f aca="false">F11/12</f>
        <v>131335.5625</v>
      </c>
    </row>
    <row r="12" customFormat="false" ht="15" hidden="false" customHeight="false" outlineLevel="0" collapsed="false">
      <c r="A12" s="0" t="s">
        <v>73</v>
      </c>
      <c r="B12" s="9" t="n">
        <v>1838763.24</v>
      </c>
      <c r="C12" s="25" t="n">
        <f aca="false">B4*12</f>
        <v>124437.36</v>
      </c>
      <c r="D12" s="25" t="n">
        <f aca="false">B12+C12</f>
        <v>1963200.6</v>
      </c>
      <c r="E12" s="25" t="n">
        <f aca="false">B5*9</f>
        <v>270000</v>
      </c>
      <c r="F12" s="25" t="n">
        <f aca="false">D12-E12</f>
        <v>1693200.6</v>
      </c>
      <c r="G12" s="25" t="n">
        <f aca="false">F12/12</f>
        <v>141100.05</v>
      </c>
    </row>
    <row r="13" customFormat="false" ht="15" hidden="false" customHeight="false" outlineLevel="0" collapsed="false">
      <c r="A13" s="3" t="s">
        <v>74</v>
      </c>
      <c r="B13" s="19" t="n">
        <f aca="false">SUM(B10:B12)</f>
        <v>5435169.77</v>
      </c>
      <c r="C13" s="19" t="n">
        <f aca="false">SUM(C10:C12)</f>
        <v>373312.08</v>
      </c>
      <c r="D13" s="19" t="n">
        <f aca="false">SUM(D10:D12)</f>
        <v>5808481.85</v>
      </c>
      <c r="E13" s="19" t="n">
        <f aca="false">SUM(E10:E12)</f>
        <v>990000</v>
      </c>
      <c r="F13" s="19" t="n">
        <f aca="false">SUM(F10:F12)</f>
        <v>4818481.85</v>
      </c>
      <c r="G13" s="19" t="n">
        <f aca="false">SUM(G10:G12)</f>
        <v>401540.154166667</v>
      </c>
    </row>
    <row r="16" customFormat="false" ht="15" hidden="false" customHeight="false" outlineLevel="0" collapsed="false">
      <c r="A16" s="20" t="s">
        <v>75</v>
      </c>
    </row>
    <row r="17" customFormat="false" ht="15" hidden="false" customHeight="false" outlineLevel="0" collapsed="false">
      <c r="A17" s="8" t="s">
        <v>76</v>
      </c>
      <c r="B17" s="8" t="s">
        <v>77</v>
      </c>
      <c r="C17" s="8" t="s">
        <v>78</v>
      </c>
    </row>
    <row r="18" customFormat="false" ht="15" hidden="false" customHeight="false" outlineLevel="0" collapsed="false">
      <c r="A18" s="26" t="n">
        <v>0.06</v>
      </c>
      <c r="B18" s="27" t="n">
        <v>5300684</v>
      </c>
      <c r="C18" s="27" t="n">
        <v>4390139</v>
      </c>
    </row>
    <row r="19" customFormat="false" ht="15" hidden="false" customHeight="false" outlineLevel="0" collapsed="false">
      <c r="A19" s="26" t="n">
        <v>0.07</v>
      </c>
      <c r="B19" s="27" t="n">
        <v>5222065</v>
      </c>
      <c r="C19" s="27" t="n">
        <v>4323895</v>
      </c>
    </row>
    <row r="20" customFormat="false" ht="15" hidden="false" customHeight="false" outlineLevel="0" collapsed="false">
      <c r="A20" s="26" t="n">
        <v>0.08</v>
      </c>
      <c r="B20" s="27" t="n">
        <v>5145057</v>
      </c>
      <c r="C20" s="27" t="n">
        <v>4259029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79</v>
      </c>
      <c r="B1" s="1"/>
      <c r="C1" s="1"/>
      <c r="D1" s="1"/>
      <c r="E1" s="1"/>
    </row>
    <row r="3" customFormat="false" ht="15" hidden="false" customHeight="false" outlineLevel="0" collapsed="false">
      <c r="A3" s="20" t="s">
        <v>80</v>
      </c>
    </row>
    <row r="4" customFormat="false" ht="15" hidden="false" customHeight="false" outlineLevel="0" collapsed="false">
      <c r="A4" s="3" t="s">
        <v>81</v>
      </c>
      <c r="B4" s="28" t="n">
        <v>120</v>
      </c>
    </row>
    <row r="5" customFormat="false" ht="15" hidden="false" customHeight="false" outlineLevel="0" collapsed="false">
      <c r="A5" s="3" t="s">
        <v>6</v>
      </c>
      <c r="B5" s="23" t="n">
        <v>26964</v>
      </c>
    </row>
    <row r="6" customFormat="false" ht="15" hidden="false" customHeight="false" outlineLevel="0" collapsed="false">
      <c r="A6" s="3" t="s">
        <v>82</v>
      </c>
      <c r="B6" s="29" t="n">
        <f aca="false">B4*B5</f>
        <v>3235680</v>
      </c>
    </row>
    <row r="7" customFormat="false" ht="15" hidden="false" customHeight="false" outlineLevel="0" collapsed="false">
      <c r="A7" s="3" t="s">
        <v>83</v>
      </c>
      <c r="B7" s="26" t="n">
        <v>0.05</v>
      </c>
    </row>
    <row r="8" customFormat="false" ht="15" hidden="false" customHeight="false" outlineLevel="0" collapsed="false">
      <c r="A8" s="3" t="s">
        <v>84</v>
      </c>
      <c r="B8" s="23" t="n">
        <v>10</v>
      </c>
    </row>
    <row r="9" customFormat="false" ht="15" hidden="false" customHeight="false" outlineLevel="0" collapsed="false">
      <c r="A9" s="3" t="s">
        <v>85</v>
      </c>
      <c r="B9" s="23" t="n">
        <v>3</v>
      </c>
    </row>
    <row r="10" customFormat="false" ht="15" hidden="false" customHeight="false" outlineLevel="0" collapsed="false">
      <c r="A10" s="3" t="s">
        <v>86</v>
      </c>
      <c r="B10" s="21" t="n">
        <v>159104.54</v>
      </c>
    </row>
    <row r="13" customFormat="false" ht="15" hidden="false" customHeight="false" outlineLevel="0" collapsed="false">
      <c r="A13" s="20" t="s">
        <v>87</v>
      </c>
    </row>
    <row r="14" customFormat="false" ht="15" hidden="false" customHeight="false" outlineLevel="0" collapsed="false">
      <c r="A14" s="8"/>
      <c r="B14" s="8" t="s">
        <v>88</v>
      </c>
      <c r="C14" s="8" t="s">
        <v>89</v>
      </c>
      <c r="D14" s="8" t="s">
        <v>90</v>
      </c>
    </row>
    <row r="15" customFormat="false" ht="15" hidden="false" customHeight="false" outlineLevel="0" collapsed="false">
      <c r="A15" s="0" t="s">
        <v>91</v>
      </c>
      <c r="B15" s="28" t="n">
        <v>52</v>
      </c>
      <c r="C15" s="28" t="n">
        <v>53</v>
      </c>
      <c r="D15" s="28" t="n">
        <v>55</v>
      </c>
    </row>
    <row r="16" customFormat="false" ht="15" hidden="false" customHeight="false" outlineLevel="0" collapsed="false">
      <c r="A16" s="3" t="s">
        <v>36</v>
      </c>
      <c r="B16" s="29" t="n">
        <f aca="false">B15*B5</f>
        <v>1402128</v>
      </c>
      <c r="C16" s="29" t="n">
        <f aca="false">C15*B5</f>
        <v>1429092</v>
      </c>
      <c r="D16" s="29" t="n">
        <f aca="false">D15*B5</f>
        <v>1483020</v>
      </c>
    </row>
    <row r="17" customFormat="false" ht="15" hidden="false" customHeight="false" outlineLevel="0" collapsed="false">
      <c r="A17" s="3" t="s">
        <v>92</v>
      </c>
      <c r="B17" s="29" t="n">
        <f aca="false">B16*B8</f>
        <v>14021280</v>
      </c>
      <c r="C17" s="29" t="n">
        <f aca="false">C16*B8</f>
        <v>14290920</v>
      </c>
      <c r="D17" s="29" t="n">
        <f aca="false">D16*B8</f>
        <v>14830200</v>
      </c>
    </row>
    <row r="18" customFormat="false" ht="15" hidden="false" customHeight="false" outlineLevel="0" collapsed="false">
      <c r="A18" s="3" t="s">
        <v>93</v>
      </c>
      <c r="B18" s="29" t="n">
        <f aca="false">B17*B7</f>
        <v>701064</v>
      </c>
      <c r="C18" s="29" t="n">
        <f aca="false">C17*B7</f>
        <v>714546</v>
      </c>
      <c r="D18" s="29" t="n">
        <f aca="false">D17*B7</f>
        <v>741510</v>
      </c>
    </row>
    <row r="19" customFormat="false" ht="15" hidden="false" customHeight="false" outlineLevel="0" collapsed="false">
      <c r="A19" s="3" t="s">
        <v>94</v>
      </c>
      <c r="B19" s="29" t="n">
        <f aca="false">B6</f>
        <v>3235680</v>
      </c>
      <c r="C19" s="29" t="n">
        <f aca="false">B6</f>
        <v>3235680</v>
      </c>
      <c r="D19" s="29" t="n">
        <f aca="false">B6</f>
        <v>3235680</v>
      </c>
    </row>
    <row r="20" customFormat="false" ht="15" hidden="false" customHeight="false" outlineLevel="0" collapsed="false">
      <c r="A20" s="3" t="s">
        <v>95</v>
      </c>
      <c r="B20" s="29" t="n">
        <f aca="false">B18+B19</f>
        <v>3936744</v>
      </c>
      <c r="C20" s="29" t="n">
        <f aca="false">C18+C19</f>
        <v>3950226</v>
      </c>
      <c r="D20" s="29" t="n">
        <f aca="false">D18+D19</f>
        <v>3977190</v>
      </c>
    </row>
    <row r="22" customFormat="false" ht="15" hidden="false" customHeight="false" outlineLevel="0" collapsed="false">
      <c r="A22" s="3" t="s">
        <v>37</v>
      </c>
      <c r="B22" s="29" t="n">
        <f aca="false">B16/12</f>
        <v>116844</v>
      </c>
      <c r="C22" s="29" t="n">
        <f aca="false">C16/12</f>
        <v>119091</v>
      </c>
      <c r="D22" s="29" t="n">
        <f aca="false">D16/12</f>
        <v>123585</v>
      </c>
    </row>
    <row r="23" customFormat="false" ht="15" hidden="false" customHeight="false" outlineLevel="0" collapsed="false">
      <c r="A23" s="3" t="s">
        <v>96</v>
      </c>
      <c r="B23" s="29" t="n">
        <f aca="false">B22*33</f>
        <v>3855852</v>
      </c>
      <c r="C23" s="29" t="n">
        <f aca="false">C22*33</f>
        <v>3930003</v>
      </c>
      <c r="D23" s="29" t="n">
        <f aca="false">D22*33</f>
        <v>4078305</v>
      </c>
    </row>
    <row r="24" customFormat="false" ht="15" hidden="false" customHeight="false" outlineLevel="0" collapsed="false">
      <c r="A24" s="3" t="s">
        <v>97</v>
      </c>
      <c r="B24" s="30" t="n">
        <v>5808482</v>
      </c>
      <c r="C24" s="30" t="n">
        <v>5808482</v>
      </c>
      <c r="D24" s="30" t="n">
        <v>5808482</v>
      </c>
    </row>
    <row r="26" customFormat="false" ht="15" hidden="false" customHeight="false" outlineLevel="0" collapsed="false">
      <c r="A26" s="16" t="s">
        <v>98</v>
      </c>
      <c r="B26" s="31" t="n">
        <f aca="false">B24-B23+B20</f>
        <v>5889374</v>
      </c>
      <c r="C26" s="31" t="n">
        <f aca="false">C24-C23+C20</f>
        <v>5828705</v>
      </c>
      <c r="D26" s="31" t="n">
        <f aca="false">D24-D23+D20</f>
        <v>5707367</v>
      </c>
    </row>
    <row r="27" customFormat="false" ht="15" hidden="false" customHeight="false" outlineLevel="0" collapsed="false">
      <c r="A27" s="16" t="s">
        <v>99</v>
      </c>
      <c r="B27" s="31" t="n">
        <f aca="false">B26*1.1</f>
        <v>6478311.4</v>
      </c>
      <c r="C27" s="31" t="n">
        <f aca="false">C26*1.1</f>
        <v>6411575.5</v>
      </c>
      <c r="D27" s="31" t="n">
        <f aca="false">D26*1.1</f>
        <v>6278103.7</v>
      </c>
    </row>
    <row r="28" customFormat="false" ht="15" hidden="false" customHeight="false" outlineLevel="0" collapsed="false">
      <c r="A28" s="16" t="s">
        <v>100</v>
      </c>
      <c r="B28" s="31" t="n">
        <f aca="false">B26*1.15</f>
        <v>6772780.1</v>
      </c>
      <c r="C28" s="31" t="n">
        <f aca="false">C26*1.15</f>
        <v>6703010.75</v>
      </c>
      <c r="D28" s="31" t="n">
        <f aca="false">D26*1.15</f>
        <v>6563472.05</v>
      </c>
    </row>
    <row r="35" customFormat="false" ht="15" hidden="false" customHeight="false" outlineLevel="0" collapsed="false">
      <c r="A35" s="20" t="s">
        <v>101</v>
      </c>
    </row>
    <row r="36" customFormat="false" ht="15" hidden="false" customHeight="false" outlineLevel="0" collapsed="false">
      <c r="A36" s="0" t="s">
        <v>102</v>
      </c>
      <c r="B36" s="3" t="s">
        <v>103</v>
      </c>
    </row>
    <row r="37" customFormat="false" ht="15" hidden="false" customHeight="false" outlineLevel="0" collapsed="false">
      <c r="A37" s="0" t="s">
        <v>104</v>
      </c>
      <c r="B37" s="3" t="s">
        <v>105</v>
      </c>
    </row>
    <row r="38" customFormat="false" ht="15" hidden="false" customHeight="false" outlineLevel="0" collapsed="false">
      <c r="A38" s="0" t="s">
        <v>106</v>
      </c>
      <c r="B38" s="3" t="s">
        <v>107</v>
      </c>
    </row>
    <row r="39" customFormat="false" ht="15" hidden="false" customHeight="false" outlineLevel="0" collapsed="false">
      <c r="A39" s="0" t="s">
        <v>108</v>
      </c>
      <c r="B39" s="3"/>
    </row>
    <row r="40" customFormat="false" ht="15" hidden="false" customHeight="false" outlineLevel="0" collapsed="false">
      <c r="A40" s="0" t="s">
        <v>109</v>
      </c>
      <c r="B40" s="3"/>
    </row>
    <row r="41" customFormat="false" ht="15" hidden="false" customHeight="false" outlineLevel="0" collapsed="false">
      <c r="A41" s="0" t="s">
        <v>110</v>
      </c>
      <c r="B41" s="3" t="s">
        <v>111</v>
      </c>
    </row>
    <row r="42" customFormat="false" ht="15" hidden="false" customHeight="false" outlineLevel="0" collapsed="false">
      <c r="A42" s="0" t="s">
        <v>112</v>
      </c>
      <c r="B42" s="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22"/>
  </cols>
  <sheetData>
    <row r="1" customFormat="false" ht="17.35" hidden="false" customHeight="false" outlineLevel="0" collapsed="false">
      <c r="A1" s="1" t="s">
        <v>113</v>
      </c>
      <c r="B1" s="1"/>
      <c r="C1" s="1"/>
      <c r="D1" s="1"/>
    </row>
    <row r="2" customFormat="false" ht="15" hidden="false" customHeight="false" outlineLevel="0" collapsed="false">
      <c r="A2" s="2" t="s">
        <v>114</v>
      </c>
      <c r="B2" s="2"/>
      <c r="C2" s="2"/>
      <c r="D2" s="2"/>
    </row>
    <row r="4" customFormat="false" ht="26.85" hidden="false" customHeight="false" outlineLevel="0" collapsed="false">
      <c r="A4" s="8"/>
      <c r="B4" s="8" t="s">
        <v>115</v>
      </c>
      <c r="C4" s="8" t="s">
        <v>116</v>
      </c>
      <c r="D4" s="8" t="s">
        <v>117</v>
      </c>
    </row>
    <row r="5" customFormat="false" ht="15" hidden="false" customHeight="false" outlineLevel="0" collapsed="false">
      <c r="A5" s="20" t="s">
        <v>118</v>
      </c>
    </row>
    <row r="6" customFormat="false" ht="15" hidden="false" customHeight="false" outlineLevel="0" collapsed="false">
      <c r="A6" s="3" t="s">
        <v>119</v>
      </c>
      <c r="B6" s="27" t="n">
        <v>5808482</v>
      </c>
      <c r="C6" s="27" t="n">
        <f aca="false">53*26964/12*33</f>
        <v>3930003</v>
      </c>
      <c r="D6" s="27" t="n">
        <f aca="false">55*26964/12*33</f>
        <v>4078305</v>
      </c>
    </row>
    <row r="7" customFormat="false" ht="15" hidden="false" customHeight="false" outlineLevel="0" collapsed="false">
      <c r="A7" s="0" t="s">
        <v>120</v>
      </c>
      <c r="B7" s="27" t="n">
        <v>0</v>
      </c>
      <c r="C7" s="27" t="n">
        <v>-477314</v>
      </c>
      <c r="D7" s="27" t="n">
        <v>-477314</v>
      </c>
    </row>
    <row r="8" customFormat="false" ht="15" hidden="false" customHeight="false" outlineLevel="0" collapsed="false">
      <c r="A8" s="3" t="s">
        <v>121</v>
      </c>
      <c r="B8" s="27" t="n">
        <v>0</v>
      </c>
      <c r="C8" s="28" t="n">
        <v>5828705</v>
      </c>
      <c r="D8" s="28" t="n">
        <v>5707367</v>
      </c>
    </row>
    <row r="9" customFormat="false" ht="15" hidden="false" customHeight="false" outlineLevel="0" collapsed="false">
      <c r="A9" s="3" t="s">
        <v>122</v>
      </c>
      <c r="B9" s="32" t="n">
        <f aca="false">SUM(B6:B8)</f>
        <v>5808482</v>
      </c>
      <c r="C9" s="32" t="n">
        <f aca="false">SUM(C6:C8)</f>
        <v>9281394</v>
      </c>
      <c r="D9" s="32" t="n">
        <f aca="false">SUM(D6:D8)</f>
        <v>9308358</v>
      </c>
    </row>
    <row r="11" customFormat="false" ht="15" hidden="false" customHeight="false" outlineLevel="0" collapsed="false">
      <c r="A11" s="20" t="s">
        <v>123</v>
      </c>
    </row>
    <row r="12" customFormat="false" ht="15" hidden="false" customHeight="false" outlineLevel="0" collapsed="false">
      <c r="A12" s="0" t="s">
        <v>124</v>
      </c>
      <c r="B12" s="27" t="n">
        <v>0</v>
      </c>
      <c r="C12" s="27" t="n">
        <v>3235680</v>
      </c>
      <c r="D12" s="27" t="n">
        <v>3235680</v>
      </c>
    </row>
    <row r="13" customFormat="false" ht="15" hidden="false" customHeight="false" outlineLevel="0" collapsed="false">
      <c r="A13" s="0" t="s">
        <v>93</v>
      </c>
      <c r="B13" s="27" t="n">
        <v>0</v>
      </c>
      <c r="C13" s="27" t="n">
        <f aca="false">53*26964*10*0.05</f>
        <v>714546</v>
      </c>
      <c r="D13" s="27" t="n">
        <f aca="false">55*26964*10*0.05</f>
        <v>741510</v>
      </c>
    </row>
    <row r="14" customFormat="false" ht="15" hidden="false" customHeight="false" outlineLevel="0" collapsed="false">
      <c r="A14" s="3" t="s">
        <v>125</v>
      </c>
      <c r="B14" s="32" t="n">
        <f aca="false">SUM(B12:B13)</f>
        <v>0</v>
      </c>
      <c r="C14" s="32" t="n">
        <f aca="false">SUM(C12:C13)</f>
        <v>3950226</v>
      </c>
      <c r="D14" s="32" t="n">
        <f aca="false">SUM(D12:D13)</f>
        <v>3977190</v>
      </c>
    </row>
    <row r="16" customFormat="false" ht="15" hidden="false" customHeight="false" outlineLevel="0" collapsed="false">
      <c r="A16" s="7" t="s">
        <v>126</v>
      </c>
      <c r="B16" s="33" t="n">
        <f aca="false">B9-B14</f>
        <v>5808482</v>
      </c>
      <c r="C16" s="33" t="n">
        <f aca="false">C9-C14</f>
        <v>5331168</v>
      </c>
      <c r="D16" s="33" t="n">
        <f aca="false">D9-D14</f>
        <v>5331168</v>
      </c>
    </row>
    <row r="18" customFormat="false" ht="15" hidden="false" customHeight="false" outlineLevel="0" collapsed="false">
      <c r="A18" s="20" t="s">
        <v>127</v>
      </c>
    </row>
    <row r="19" customFormat="false" ht="15" hidden="false" customHeight="false" outlineLevel="0" collapsed="false">
      <c r="A19" s="0" t="s">
        <v>128</v>
      </c>
      <c r="B19" s="34" t="s">
        <v>129</v>
      </c>
      <c r="C19" s="27" t="n">
        <f aca="false">53*26964</f>
        <v>1429092</v>
      </c>
      <c r="D19" s="27" t="n">
        <f aca="false">55*26964</f>
        <v>1483020</v>
      </c>
    </row>
    <row r="20" customFormat="false" ht="15" hidden="false" customHeight="false" outlineLevel="0" collapsed="false">
      <c r="A20" s="0" t="s">
        <v>130</v>
      </c>
      <c r="B20" s="0" t="s">
        <v>131</v>
      </c>
      <c r="C20" s="27" t="n">
        <f aca="false">C19*7</f>
        <v>10003644</v>
      </c>
      <c r="D20" s="27" t="n">
        <f aca="false">D19*7</f>
        <v>10381140</v>
      </c>
    </row>
    <row r="22" customFormat="false" ht="15" hidden="false" customHeight="false" outlineLevel="0" collapsed="false">
      <c r="A22" s="35" t="s">
        <v>132</v>
      </c>
      <c r="B22" s="34" t="s">
        <v>133</v>
      </c>
      <c r="C22" s="36" t="n">
        <f aca="false">C16+C20</f>
        <v>15334812</v>
      </c>
      <c r="D22" s="36" t="n">
        <f aca="false">D16+D20</f>
        <v>15712308</v>
      </c>
    </row>
    <row r="25" customFormat="false" ht="15" hidden="false" customHeight="false" outlineLevel="0" collapsed="false">
      <c r="A25" s="7" t="s">
        <v>134</v>
      </c>
    </row>
    <row r="26" customFormat="false" ht="15" hidden="false" customHeight="true" outlineLevel="0" collapsed="false">
      <c r="A26" s="37" t="s">
        <v>135</v>
      </c>
      <c r="B26" s="37"/>
      <c r="C26" s="37"/>
      <c r="D26" s="37"/>
    </row>
    <row r="27" customFormat="false" ht="15" hidden="false" customHeight="false" outlineLevel="0" collapsed="false">
      <c r="A27" s="37"/>
      <c r="B27" s="37"/>
      <c r="C27" s="37"/>
      <c r="D27" s="37"/>
    </row>
    <row r="28" customFormat="false" ht="15" hidden="false" customHeight="false" outlineLevel="0" collapsed="false">
      <c r="A28" s="37"/>
      <c r="B28" s="37"/>
      <c r="C28" s="37"/>
      <c r="D28" s="37"/>
    </row>
  </sheetData>
  <mergeCells count="3">
    <mergeCell ref="A1:D1"/>
    <mergeCell ref="A2:D2"/>
    <mergeCell ref="A26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2026-04-01T14:51:58Z</dcterms:created>
  <dc:creator>openpyxl</dc:creator>
  <dc:description/>
  <dc:language>en-US</dc:language>
  <cp:lastModifiedBy/>
  <dcterms:modified xsi:type="dcterms:W3CDTF">2026-04-01T14:51:58Z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