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Deadlines" sheetId="1" state="visible" r:id="rId3"/>
    <sheet name="Summary" sheetId="2" state="visible" r:id="rId4"/>
    <sheet name="Jan" sheetId="3" state="visible" r:id="rId5"/>
    <sheet name="Feb" sheetId="4" state="visible" r:id="rId6"/>
    <sheet name="Mar" sheetId="5" state="visible" r:id="rId7"/>
    <sheet name="Apr" sheetId="6" state="visible" r:id="rId8"/>
    <sheet name="May" sheetId="7" state="visible" r:id="rId9"/>
    <sheet name="Jun" sheetId="8" state="visible" r:id="rId10"/>
    <sheet name="Jul" sheetId="9" state="visible" r:id="rId11"/>
    <sheet name="Aug" sheetId="10" state="visible" r:id="rId12"/>
    <sheet name="Sep" sheetId="11" state="visible" r:id="rId13"/>
    <sheet name="Oct" sheetId="12" state="visible" r:id="rId14"/>
    <sheet name="Nov" sheetId="13" state="visible" r:id="rId15"/>
    <sheet name="Dec" sheetId="14" state="visible" r:id="rId16"/>
  </sheets>
  <definedNames>
    <definedName function="false" hidden="true" localSheetId="0" name="_xlnm._FilterDatabase" vbProcedure="false">'Master Deadlines'!$A$4:$H$18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<sst xmlns="http://schemas.openxmlformats.org/spreadsheetml/2006/main" count="953" uniqueCount="83">
  <si>
    <t xml:space="preserve">First Mile — Master Deadline Reference</t>
  </si>
  <si>
    <t xml:space="preserve">This sheet is the source of truth. Add or edit deadlines here. Monthly tabs reference this data.</t>
  </si>
  <si>
    <t xml:space="preserve">#</t>
  </si>
  <si>
    <t xml:space="preserve">Day of Month</t>
  </si>
  <si>
    <t xml:space="preserve">Cadence</t>
  </si>
  <si>
    <t xml:space="preserve">Property / Fund</t>
  </si>
  <si>
    <t xml:space="preserve">Payment Type</t>
  </si>
  <si>
    <t xml:space="preserve">Task Description</t>
  </si>
  <si>
    <t xml:space="preserve">Task Owner</t>
  </si>
  <si>
    <t xml:space="preserve">Notes</t>
  </si>
  <si>
    <t xml:space="preserve">8th</t>
  </si>
  <si>
    <t xml:space="preserve">Monthly</t>
  </si>
  <si>
    <t xml:space="preserve">41 Flatbush Ave</t>
  </si>
  <si>
    <t xml:space="preserve">AM Fee</t>
  </si>
  <si>
    <t xml:space="preserve">Receive JLL Financial Package from JLL. Invoice them for AM Fee - 2.5%</t>
  </si>
  <si>
    <t xml:space="preserve">Anthony</t>
  </si>
  <si>
    <t xml:space="preserve">Pref Fund I - Solow</t>
  </si>
  <si>
    <t xml:space="preserve">Transfer Solow AM fees to FMC - $5,208 (BofA scheduled)</t>
  </si>
  <si>
    <t xml:space="preserve">BofA - automatic</t>
  </si>
  <si>
    <t xml:space="preserve">10th</t>
  </si>
  <si>
    <t xml:space="preserve">Paramus Plaza</t>
  </si>
  <si>
    <t xml:space="preserve">Reporting</t>
  </si>
  <si>
    <t xml:space="preserve">Upload Monthly Management Reports to DRA</t>
  </si>
  <si>
    <t xml:space="preserve">20th</t>
  </si>
  <si>
    <t xml:space="preserve">61 S Paramus</t>
  </si>
  <si>
    <t xml:space="preserve">Transfer distros from property to FM Paramus Member (BofA scheduled)</t>
  </si>
  <si>
    <t xml:space="preserve">Quarterly</t>
  </si>
  <si>
    <t xml:space="preserve">Pref Fund II - JPY</t>
  </si>
  <si>
    <t xml:space="preserve">Investor Payment</t>
  </si>
  <si>
    <t xml:space="preserve">Purchase JPY to Goldman Sachs. Loan from FMC if cash shortfall.</t>
  </si>
  <si>
    <t xml:space="preserve">Send JPY to investors via Goldman Sachs</t>
  </si>
  <si>
    <t xml:space="preserve">21st</t>
  </si>
  <si>
    <t xml:space="preserve">Transfer AM fee split 48k to FM and 4k to Ring (BofA scheduled)</t>
  </si>
  <si>
    <t xml:space="preserve">23rd</t>
  </si>
  <si>
    <t xml:space="preserve">1700 East Putnam</t>
  </si>
  <si>
    <t xml:space="preserve">Send Distros via Appfolio (*Currently Suspended)</t>
  </si>
  <si>
    <t xml:space="preserve">Xuan</t>
  </si>
  <si>
    <t xml:space="preserve">Send Distros via Appfolio</t>
  </si>
  <si>
    <t xml:space="preserve">One River Centre</t>
  </si>
  <si>
    <t xml:space="preserve">Send Distros via Appfolio (*Xuan sends for now, will be transferred soon to Anthony)</t>
  </si>
  <si>
    <t xml:space="preserve">25th</t>
  </si>
  <si>
    <t xml:space="preserve">ALL</t>
  </si>
  <si>
    <t xml:space="preserve">Send Asset Management Report</t>
  </si>
  <si>
    <t xml:space="preserve">Morris</t>
  </si>
  <si>
    <t xml:space="preserve">Pay Paramus Plaza AM Fee, if cash distro received by DRA</t>
  </si>
  <si>
    <t xml:space="preserve">First Mile — 2026 Completion Dashboard</t>
  </si>
  <si>
    <t xml:space="preserve">Month</t>
  </si>
  <si>
    <t xml:space="preserve">Total Tasks</t>
  </si>
  <si>
    <t xml:space="preserve">Completed</t>
  </si>
  <si>
    <t xml:space="preserve">Remaining</t>
  </si>
  <si>
    <t xml:space="preserve">% Done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</si>
  <si>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</si>
  <si>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</si>
  <si>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</si>
  <si>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</si>
  <si>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</si>
  <si>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</si>
  <si>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</si>
  <si>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</si>
  <si>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</si>
  <si>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</si>
  <si>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</si>
  <si>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</si>
  <si>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TOTAL</t>
  </si>
  <si>
    <t xml:space="preserve">January 2026 — Task Checklist</t>
  </si>
  <si>
    <t xml:space="preserve">Progress:</t>
  </si>
  <si>
    <t xml:space="preserve">Status</t>
  </si>
  <si>
    <t xml:space="preserve">Day</t>
  </si>
  <si>
    <t xml:space="preserve">Type</t>
  </si>
  <si>
    <t xml:space="preserve">Owner</t>
  </si>
  <si>
    <t xml:space="preserve">Completed By</t>
  </si>
  <si>
    <t xml:space="preserve">Date Completed</t>
  </si>
  <si>
    <t xml:space="preserve">February 2026 — Task Checklist</t>
  </si>
  <si>
    <t xml:space="preserve">March 2026 — Task Checklist</t>
  </si>
  <si>
    <t xml:space="preserve">April 2026 — Task Checklist</t>
  </si>
  <si>
    <t xml:space="preserve">May 2026 — Task Checklist</t>
  </si>
  <si>
    <t xml:space="preserve">June 2026 — Task Checklist</t>
  </si>
  <si>
    <t xml:space="preserve">July 2026 — Task Checklist</t>
  </si>
  <si>
    <t xml:space="preserve">August 2026 — Task Checklist</t>
  </si>
  <si>
    <t xml:space="preserve">September 2026 — Task Checklist</t>
  </si>
  <si>
    <t xml:space="preserve">October 2026 — Task Checklist</t>
  </si>
  <si>
    <t xml:space="preserve">November 2026 — Task Checklist</t>
  </si>
  <si>
    <t xml:space="preserve">December 2026 — Task Checklist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</si>
</sst>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mm/dd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228B22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6FC"/>
        <bgColor rgb="FFFFFFFF"/>
      </patternFill>
    </fill>
    <fill>
      <patternFill patternType="solid">
        <fgColor rgb="FFD1F5E8"/>
        <bgColor rgb="FFCCF0FF"/>
      </patternFill>
    </fill>
    <fill>
      <patternFill patternType="solid">
        <fgColor rgb="FFFFFFFF"/>
        <bgColor rgb="FFF2F6FC"/>
      </patternFill>
    </fill>
    <fill>
      <patternFill patternType="solid">
        <fgColor rgb="FFD6E4FF"/>
        <bgColor rgb="FFCCF0FF"/>
      </patternFill>
    </fill>
    <fill>
      <patternFill patternType="solid">
        <fgColor rgb="FFFFE0D0"/>
        <bgColor rgb="FFFCE4D6"/>
      </patternFill>
    </fill>
    <fill>
      <patternFill patternType="solid">
        <fgColor rgb="FFFFF3CC"/>
        <bgColor rgb="FFFFF2CC"/>
      </patternFill>
    </fill>
    <fill>
      <patternFill patternType="solid">
        <fgColor rgb="FFF0D9FF"/>
        <bgColor rgb="FFFFD6DE"/>
      </patternFill>
    </fill>
    <fill>
      <patternFill patternType="solid">
        <fgColor rgb="FFFFD6DE"/>
        <bgColor rgb="FFFFE0D0"/>
      </patternFill>
    </fill>
    <fill>
      <patternFill patternType="solid">
        <fgColor rgb="FFCCF0FF"/>
        <bgColor rgb="FFD1F5E8"/>
      </patternFill>
    </fill>
    <fill>
      <patternFill patternType="solid">
        <fgColor rgb="FFE8E8E8"/>
        <bgColor rgb="FFD6E4FF"/>
      </patternFill>
    </fill>
    <fill>
      <patternFill patternType="solid">
        <fgColor rgb="FFD6DCE4"/>
        <bgColor rgb="FFD9D9D9"/>
      </patternFill>
    </fill>
    <fill>
      <patternFill patternType="solid">
        <fgColor rgb="FF4472C4"/>
        <bgColor rgb="FF2E75B6"/>
      </patternFill>
    </fill>
    <fill>
      <patternFill patternType="solid">
        <fgColor rgb="FFFFF2CC"/>
        <bgColor rgb="FFFFF3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6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CF0FF"/>
          <bgColor rgb="FF000000"/>
        </patternFill>
      </fill>
    </dxf>
    <dxf>
      <fill>
        <patternFill patternType="solid">
          <fgColor rgb="FFD1F5E8"/>
          <bgColor rgb="FF000000"/>
        </patternFill>
      </fill>
    </dxf>
    <dxf>
      <fill>
        <patternFill patternType="solid">
          <fgColor rgb="FFD6E4F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0D9FF"/>
          <bgColor rgb="FF000000"/>
        </patternFill>
      </fill>
    </dxf>
    <dxf>
      <fill>
        <patternFill patternType="solid">
          <fgColor rgb="FFFFD6DE"/>
          <bgColor rgb="FF000000"/>
        </patternFill>
      </fill>
    </dxf>
    <dxf>
      <fill>
        <patternFill patternType="solid">
          <fgColor rgb="FFFFE0D0"/>
          <bgColor rgb="FF000000"/>
        </patternFill>
      </fill>
    </dxf>
    <dxf>
      <fill>
        <patternFill patternType="solid">
          <fgColor rgb="FFFFF3CC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BF6000"/>
        <sz val="10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6FC"/>
      <rgbColor rgb="FFFF00FF"/>
      <rgbColor rgb="FF00FFFF"/>
      <rgbColor rgb="FF800000"/>
      <rgbColor rgb="FF228B22"/>
      <rgbColor rgb="FF000080"/>
      <rgbColor rgb="FF808000"/>
      <rgbColor rgb="FF800080"/>
      <rgbColor rgb="FF008080"/>
      <rgbColor rgb="FFD9D9D9"/>
      <rgbColor rgb="FF808080"/>
      <rgbColor rgb="FFE8E8E8"/>
      <rgbColor rgb="FF993366"/>
      <rgbColor rgb="FFFFF3CC"/>
      <rgbColor rgb="FFD1F5E8"/>
      <rgbColor rgb="FF660066"/>
      <rgbColor rgb="FFFF8080"/>
      <rgbColor rgb="FF2E75B6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0FF"/>
      <rgbColor rgb="FFC6EFCE"/>
      <rgbColor rgb="FFFFF2CC"/>
      <rgbColor rgb="FFD6E4FF"/>
      <rgbColor rgb="FFFFD6DE"/>
      <rgbColor rgb="FFF0D9FF"/>
      <rgbColor rgb="FFFFE0D0"/>
      <rgbColor rgb="FF4472C4"/>
      <rgbColor rgb="FF33CCCC"/>
      <rgbColor rgb="FF99CC00"/>
      <rgbColor rgb="FFFCE4D6"/>
      <rgbColor rgb="FFFF9900"/>
      <rgbColor rgb="FFBF6000"/>
      <rgbColor rgb="FF666666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4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55"/>
    <col collapsed="false" customWidth="true" hidden="false" outlineLevel="0" max="7" min="7" style="0" width="18"/>
    <col collapsed="false" customWidth="true" hidden="false" outlineLevel="0" max="8" min="8" style="0" width="25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7.75" hidden="false" customHeight="true" outlineLevel="0" collapsed="false">
      <c r="A5" s="4" t="n">
        <v>1</v>
      </c>
      <c r="B5" s="5" t="s">
        <v>10</v>
      </c>
      <c r="C5" s="4" t="s">
        <v>11</v>
      </c>
      <c r="D5" s="6" t="s">
        <v>12</v>
      </c>
      <c r="E5" s="4" t="s">
        <v>13</v>
      </c>
      <c r="F5" s="7" t="s">
        <v>14</v>
      </c>
      <c r="G5" s="4" t="s">
        <v>15</v>
      </c>
      <c r="H5" s="8"/>
    </row>
    <row r="6" customFormat="false" ht="27.75" hidden="false" customHeight="true" outlineLevel="0" collapsed="false">
      <c r="A6" s="9" t="n">
        <v>2</v>
      </c>
      <c r="B6" s="10" t="s">
        <v>10</v>
      </c>
      <c r="C6" s="9" t="s">
        <v>11</v>
      </c>
      <c r="D6" s="11" t="s">
        <v>16</v>
      </c>
      <c r="E6" s="9" t="s">
        <v>13</v>
      </c>
      <c r="F6" s="12" t="s">
        <v>17</v>
      </c>
      <c r="G6" s="9" t="s">
        <v>18</v>
      </c>
      <c r="H6" s="13"/>
    </row>
    <row r="7" customFormat="false" ht="27.75" hidden="false" customHeight="true" outlineLevel="0" collapsed="false">
      <c r="A7" s="4" t="n">
        <v>3</v>
      </c>
      <c r="B7" s="5" t="s">
        <v>19</v>
      </c>
      <c r="C7" s="4" t="s">
        <v>11</v>
      </c>
      <c r="D7" s="14" t="s">
        <v>20</v>
      </c>
      <c r="E7" s="4" t="s">
        <v>21</v>
      </c>
      <c r="F7" s="7" t="s">
        <v>22</v>
      </c>
      <c r="G7" s="4" t="s">
        <v>15</v>
      </c>
      <c r="H7" s="8"/>
    </row>
    <row r="8" customFormat="false" ht="27.75" hidden="false" customHeight="true" outlineLevel="0" collapsed="false">
      <c r="A8" s="9" t="n">
        <v>4</v>
      </c>
      <c r="B8" s="10" t="s">
        <v>23</v>
      </c>
      <c r="C8" s="9" t="s">
        <v>11</v>
      </c>
      <c r="D8" s="15" t="s">
        <v>24</v>
      </c>
      <c r="E8" s="9" t="s">
        <v>13</v>
      </c>
      <c r="F8" s="12" t="s">
        <v>25</v>
      </c>
      <c r="G8" s="9" t="s">
        <v>18</v>
      </c>
      <c r="H8" s="13"/>
    </row>
    <row r="9" customFormat="false" ht="27.75" hidden="false" customHeight="true" outlineLevel="0" collapsed="false">
      <c r="A9" s="4" t="n">
        <v>5</v>
      </c>
      <c r="B9" s="5" t="s">
        <v>23</v>
      </c>
      <c r="C9" s="4" t="s">
        <v>26</v>
      </c>
      <c r="D9" s="16" t="s">
        <v>27</v>
      </c>
      <c r="E9" s="4" t="s">
        <v>28</v>
      </c>
      <c r="F9" s="7" t="s">
        <v>29</v>
      </c>
      <c r="G9" s="4" t="s">
        <v>15</v>
      </c>
      <c r="H9" s="8"/>
    </row>
    <row r="10" customFormat="false" ht="27.75" hidden="false" customHeight="true" outlineLevel="0" collapsed="false">
      <c r="A10" s="9" t="n">
        <v>6</v>
      </c>
      <c r="B10" s="10" t="s">
        <v>23</v>
      </c>
      <c r="C10" s="9" t="s">
        <v>26</v>
      </c>
      <c r="D10" s="16" t="s">
        <v>27</v>
      </c>
      <c r="E10" s="9" t="s">
        <v>28</v>
      </c>
      <c r="F10" s="12" t="s">
        <v>30</v>
      </c>
      <c r="G10" s="9" t="s">
        <v>15</v>
      </c>
      <c r="H10" s="13"/>
    </row>
    <row r="11" customFormat="false" ht="27.75" hidden="false" customHeight="true" outlineLevel="0" collapsed="false">
      <c r="A11" s="4" t="n">
        <v>7</v>
      </c>
      <c r="B11" s="5" t="s">
        <v>31</v>
      </c>
      <c r="C11" s="4" t="s">
        <v>11</v>
      </c>
      <c r="D11" s="15" t="s">
        <v>24</v>
      </c>
      <c r="E11" s="4" t="s">
        <v>13</v>
      </c>
      <c r="F11" s="7" t="s">
        <v>32</v>
      </c>
      <c r="G11" s="4" t="s">
        <v>18</v>
      </c>
      <c r="H11" s="8"/>
    </row>
    <row r="12" customFormat="false" ht="27.75" hidden="false" customHeight="true" outlineLevel="0" collapsed="false">
      <c r="A12" s="9" t="n">
        <v>8</v>
      </c>
      <c r="B12" s="10" t="s">
        <v>33</v>
      </c>
      <c r="C12" s="9" t="s">
        <v>11</v>
      </c>
      <c r="D12" s="17" t="s">
        <v>34</v>
      </c>
      <c r="E12" s="9" t="s">
        <v>28</v>
      </c>
      <c r="F12" s="12" t="s">
        <v>35</v>
      </c>
      <c r="G12" s="9" t="s">
        <v>36</v>
      </c>
      <c r="H12" s="13"/>
    </row>
    <row r="13" customFormat="false" ht="27.75" hidden="false" customHeight="true" outlineLevel="0" collapsed="false">
      <c r="A13" s="4" t="n">
        <v>9</v>
      </c>
      <c r="B13" s="5" t="s">
        <v>33</v>
      </c>
      <c r="C13" s="4" t="s">
        <v>11</v>
      </c>
      <c r="D13" s="15" t="s">
        <v>24</v>
      </c>
      <c r="E13" s="4" t="s">
        <v>28</v>
      </c>
      <c r="F13" s="7" t="s">
        <v>37</v>
      </c>
      <c r="G13" s="4" t="s">
        <v>15</v>
      </c>
      <c r="H13" s="8"/>
    </row>
    <row r="14" customFormat="false" ht="27.75" hidden="false" customHeight="true" outlineLevel="0" collapsed="false">
      <c r="A14" s="9" t="n">
        <v>10</v>
      </c>
      <c r="B14" s="10" t="s">
        <v>33</v>
      </c>
      <c r="C14" s="9" t="s">
        <v>11</v>
      </c>
      <c r="D14" s="18" t="s">
        <v>38</v>
      </c>
      <c r="E14" s="9" t="s">
        <v>28</v>
      </c>
      <c r="F14" s="12" t="s">
        <v>39</v>
      </c>
      <c r="G14" s="9" t="s">
        <v>36</v>
      </c>
      <c r="H14" s="13"/>
    </row>
    <row r="15" customFormat="false" ht="27.75" hidden="false" customHeight="true" outlineLevel="0" collapsed="false">
      <c r="A15" s="4" t="n">
        <v>11</v>
      </c>
      <c r="B15" s="5" t="s">
        <v>33</v>
      </c>
      <c r="C15" s="4" t="s">
        <v>11</v>
      </c>
      <c r="D15" s="14" t="s">
        <v>20</v>
      </c>
      <c r="E15" s="4" t="s">
        <v>28</v>
      </c>
      <c r="F15" s="7" t="s">
        <v>37</v>
      </c>
      <c r="G15" s="4" t="s">
        <v>15</v>
      </c>
      <c r="H15" s="8"/>
    </row>
    <row r="16" customFormat="false" ht="27.75" hidden="false" customHeight="true" outlineLevel="0" collapsed="false">
      <c r="A16" s="9" t="n">
        <v>12</v>
      </c>
      <c r="B16" s="10" t="s">
        <v>33</v>
      </c>
      <c r="C16" s="9" t="s">
        <v>11</v>
      </c>
      <c r="D16" s="11" t="s">
        <v>16</v>
      </c>
      <c r="E16" s="9" t="s">
        <v>28</v>
      </c>
      <c r="F16" s="12" t="s">
        <v>37</v>
      </c>
      <c r="G16" s="9" t="s">
        <v>15</v>
      </c>
      <c r="H16" s="13"/>
    </row>
    <row r="17" customFormat="false" ht="27.75" hidden="false" customHeight="true" outlineLevel="0" collapsed="false">
      <c r="A17" s="4" t="n">
        <v>13</v>
      </c>
      <c r="B17" s="5" t="s">
        <v>40</v>
      </c>
      <c r="C17" s="4" t="s">
        <v>26</v>
      </c>
      <c r="D17" s="19" t="s">
        <v>41</v>
      </c>
      <c r="E17" s="4" t="s">
        <v>21</v>
      </c>
      <c r="F17" s="7" t="s">
        <v>42</v>
      </c>
      <c r="G17" s="4" t="s">
        <v>43</v>
      </c>
      <c r="H17" s="8"/>
    </row>
    <row r="18" customFormat="false" ht="27.75" hidden="false" customHeight="true" outlineLevel="0" collapsed="false">
      <c r="A18" s="9" t="n">
        <v>14</v>
      </c>
      <c r="B18" s="10" t="s">
        <v>40</v>
      </c>
      <c r="C18" s="9" t="s">
        <v>11</v>
      </c>
      <c r="D18" s="14" t="s">
        <v>20</v>
      </c>
      <c r="E18" s="9" t="s">
        <v>13</v>
      </c>
      <c r="F18" s="12" t="s">
        <v>44</v>
      </c>
      <c r="G18" s="9" t="s">
        <v>15</v>
      </c>
      <c r="H18" s="13"/>
    </row>
  </sheetData>
  <autoFilter ref="A4:H18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8B22"/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  <col collapsed="false" customWidth="true" hidden="false" outlineLevel="0" max="5" min="5" style="0" width="12"/>
  </cols>
  <sheetData>
    <row r="1" customFormat="false" ht="36" hidden="false" customHeight="true" outlineLevel="0" collapsed="false">
      <c r="A1" s="20" t="s">
        <v>45</v>
      </c>
      <c r="B1" s="20"/>
      <c r="C1" s="20"/>
      <c r="D1" s="20"/>
      <c r="E1" s="20"/>
    </row>
    <row r="2" customFormat="false" ht="6" hidden="false" customHeight="true" outlineLevel="0" collapsed="false"/>
    <row r="3" customFormat="false" ht="15" hidden="false" customHeight="false" outlineLevel="0" collapsed="false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</row>
    <row r="4" customFormat="false" ht="24" hidden="false" customHeight="true" outlineLevel="0" collapsed="false">
      <c r="A4" s="21" t="s">
        <v>51</v>
      </c>
      <c r="B4" s="4" t="n">
        <v>14</v>
      </c>
      <c r="C4" s="4" t="n">
        <f aca="false">COUNTIF(Jan!A5:A18,"Done")</f>
        <v>0</v>
      </c>
      <c r="D4" s="4" t="n">
        <f aca="false">B4-C4</f>
        <v>14</v>
      </c>
      <c r="E4" s="22" t="n">
        <f aca="false">IF(B4&gt;0,C4/B4,0)</f>
        <v>0</v>
      </c>
    </row>
    <row r="5" customFormat="false" ht="24" hidden="false" customHeight="true" outlineLevel="0" collapsed="false">
      <c r="A5" s="23" t="s">
        <v>52</v>
      </c>
      <c r="B5" s="9" t="n">
        <v>11</v>
      </c>
      <c r="C5" s="9" t="n">
        <f aca="false">COUNTIF(Feb!A5:A15,"Done")</f>
        <v>0</v>
      </c>
      <c r="D5" s="9" t="n">
        <f aca="false">B5-C5</f>
        <v>11</v>
      </c>
      <c r="E5" s="24" t="n">
        <f aca="false">IF(B5&gt;0,C5/B5,0)</f>
        <v>0</v>
      </c>
    </row>
    <row r="6" customFormat="false" ht="24" hidden="false" customHeight="true" outlineLevel="0" collapsed="false">
      <c r="A6" s="21" t="s">
        <v>53</v>
      </c>
      <c r="B6" s="4" t="n">
        <v>11</v>
      </c>
      <c r="C6" s="4" t="n">
        <f aca="false">COUNTIF(Mar!A5:A15,"Done")</f>
        <v>0</v>
      </c>
      <c r="D6" s="4" t="n">
        <f aca="false">B6-C6</f>
        <v>11</v>
      </c>
      <c r="E6" s="22" t="n">
        <f aca="false">IF(B6&gt;0,C6/B6,0)</f>
        <v>0</v>
      </c>
    </row>
    <row r="7" customFormat="false" ht="24" hidden="false" customHeight="true" outlineLevel="0" collapsed="false">
      <c r="A7" s="23" t="s">
        <v>54</v>
      </c>
      <c r="B7" s="9" t="n">
        <v>14</v>
      </c>
      <c r="C7" s="9" t="n">
        <f aca="false">COUNTIF(Apr!A5:A18,"Done")</f>
        <v>0</v>
      </c>
      <c r="D7" s="9" t="n">
        <f aca="false">B7-C7</f>
        <v>14</v>
      </c>
      <c r="E7" s="24" t="n">
        <f aca="false">IF(B7&gt;0,C7/B7,0)</f>
        <v>0</v>
      </c>
    </row>
    <row r="8" customFormat="false" ht="24" hidden="false" customHeight="true" outlineLevel="0" collapsed="false">
      <c r="A8" s="21" t="s">
        <v>55</v>
      </c>
      <c r="B8" s="4" t="n">
        <v>11</v>
      </c>
      <c r="C8" s="4" t="n">
        <f aca="false">COUNTIF(May!A5:A15,"Done")</f>
        <v>0</v>
      </c>
      <c r="D8" s="4" t="n">
        <f aca="false">B8-C8</f>
        <v>11</v>
      </c>
      <c r="E8" s="22" t="n">
        <f aca="false">IF(B8&gt;0,C8/B8,0)</f>
        <v>0</v>
      </c>
    </row>
    <row r="9" customFormat="false" ht="24" hidden="false" customHeight="true" outlineLevel="0" collapsed="false">
      <c r="A9" s="23" t="s">
        <v>56</v>
      </c>
      <c r="B9" s="9" t="n">
        <v>11</v>
      </c>
      <c r="C9" s="9" t="n">
        <f aca="false">COUNTIF(Jun!A5:A15,"Done")</f>
        <v>0</v>
      </c>
      <c r="D9" s="9" t="n">
        <f aca="false">B9-C9</f>
        <v>11</v>
      </c>
      <c r="E9" s="24" t="n">
        <f aca="false">IF(B9&gt;0,C9/B9,0)</f>
        <v>0</v>
      </c>
    </row>
    <row r="10" customFormat="false" ht="24" hidden="false" customHeight="true" outlineLevel="0" collapsed="false">
      <c r="A10" s="21" t="s">
        <v>57</v>
      </c>
      <c r="B10" s="4" t="n">
        <v>14</v>
      </c>
      <c r="C10" s="4" t="n">
        <f aca="false">COUNTIF(Jul!A5:A18,"Done")</f>
        <v>0</v>
      </c>
      <c r="D10" s="4" t="n">
        <f aca="false">B10-C10</f>
        <v>14</v>
      </c>
      <c r="E10" s="22" t="n">
        <f aca="false">IF(B10&gt;0,C10/B10,0)</f>
        <v>0</v>
      </c>
    </row>
    <row r="11" customFormat="false" ht="24" hidden="false" customHeight="true" outlineLevel="0" collapsed="false">
      <c r="A11" s="23" t="s">
        <v>58</v>
      </c>
      <c r="B11" s="9" t="n">
        <v>11</v>
      </c>
      <c r="C11" s="9" t="n">
        <f aca="false">COUNTIF(Aug!A5:A15,"Done")</f>
        <v>0</v>
      </c>
      <c r="D11" s="9" t="n">
        <f aca="false">B11-C11</f>
        <v>11</v>
      </c>
      <c r="E11" s="24" t="n">
        <f aca="false">IF(B11&gt;0,C11/B11,0)</f>
        <v>0</v>
      </c>
    </row>
    <row r="12" customFormat="false" ht="24" hidden="false" customHeight="true" outlineLevel="0" collapsed="false">
      <c r="A12" s="21" t="s">
        <v>59</v>
      </c>
      <c r="B12" s="4" t="n">
        <v>11</v>
      </c>
      <c r="C12" s="4" t="n">
        <f aca="false">COUNTIF(Sep!A5:A15,"Done")</f>
        <v>0</v>
      </c>
      <c r="D12" s="4" t="n">
        <f aca="false">B12-C12</f>
        <v>11</v>
      </c>
      <c r="E12" s="22" t="n">
        <f aca="false">IF(B12&gt;0,C12/B12,0)</f>
        <v>0</v>
      </c>
    </row>
    <row r="13" customFormat="false" ht="24" hidden="false" customHeight="true" outlineLevel="0" collapsed="false">
      <c r="A13" s="23" t="s">
        <v>60</v>
      </c>
      <c r="B13" s="9" t="n">
        <v>14</v>
      </c>
      <c r="C13" s="9" t="n">
        <f aca="false">COUNTIF(Oct!A5:A18,"Done")</f>
        <v>0</v>
      </c>
      <c r="D13" s="9" t="n">
        <f aca="false">B13-C13</f>
        <v>14</v>
      </c>
      <c r="E13" s="24" t="n">
        <f aca="false">IF(B13&gt;0,C13/B13,0)</f>
        <v>0</v>
      </c>
    </row>
    <row r="14" customFormat="false" ht="24" hidden="false" customHeight="true" outlineLevel="0" collapsed="false">
      <c r="A14" s="21" t="s">
        <v>61</v>
      </c>
      <c r="B14" s="4" t="n">
        <v>11</v>
      </c>
      <c r="C14" s="4" t="n">
        <f aca="false">COUNTIF(Nov!A5:A15,"Done")</f>
        <v>0</v>
      </c>
      <c r="D14" s="4" t="n">
        <f aca="false">B14-C14</f>
        <v>11</v>
      </c>
      <c r="E14" s="22" t="n">
        <f aca="false">IF(B14&gt;0,C14/B14,0)</f>
        <v>0</v>
      </c>
    </row>
    <row r="15" customFormat="false" ht="24" hidden="false" customHeight="true" outlineLevel="0" collapsed="false">
      <c r="A15" s="23" t="s">
        <v>62</v>
      </c>
      <c r="B15" s="9" t="n">
        <v>11</v>
      </c>
      <c r="C15" s="9" t="n">
        <f aca="false">COUNTIF(Dec!A5:A15,"Done")</f>
        <v>0</v>
      </c>
      <c r="D15" s="9" t="n">
        <f aca="false">B15-C15</f>
        <v>11</v>
      </c>
      <c r="E15" s="24" t="n">
        <f aca="false">IF(B15&gt;0,C15/B15,0)</f>
        <v>0</v>
      </c>
    </row>
    <row r="16" customFormat="false" ht="15" hidden="false" customHeight="false" outlineLevel="0" collapsed="false">
      <c r="A16" s="25" t="s">
        <v>63</v>
      </c>
      <c r="B16" s="25" t="n">
        <f aca="false">SUM(B4:B15)</f>
        <v>144</v>
      </c>
      <c r="C16" s="25" t="n">
        <f aca="false">SUM(C4:C15)</f>
        <v>0</v>
      </c>
      <c r="D16" s="25" t="n">
        <f aca="false">SUM(D4:D15)</f>
        <v>144</v>
      </c>
      <c r="E16" s="26" t="n">
        <f aca="false">IF(B16&gt;0,C16/B16,0)</f>
        <v>0</v>
      </c>
    </row>
  </sheetData>
  <mergeCells count="1">
    <mergeCell ref="A1:E1"/>
  </mergeCells>
  <conditionalFormatting sqref="E4:E15">
    <cfRule type="dataBar" priority="2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{20E1B68F-3316-48D1-8D97-858876E7704C}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E1B68F-3316-48D1-8D97-858876E7704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E4:E15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50"/>
    <col collapsed="false" customWidth="true" hidden="false" outlineLevel="0" max="8" min="6" style="0" width="16"/>
  </cols>
  <sheetData>
    <row r="1" customFormat="false" ht="36" hidden="false" customHeight="true" outlineLevel="0" collapsed="false">
      <c r="A1" s="1" t="s">
        <v>64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7" t="s">
        <v>65</v>
      </c>
      <c r="B2" s="27"/>
      <c r="C2" s="28" t="str">
        <f aca="false">COUNTIF(A5:A18,"Done") &amp; " / 14 complete"</f>
        <v>0 / 14 complete</v>
      </c>
      <c r="E2" s="29" t="n">
        <f aca="false">IF(14&gt;0,COUNTIF(A5:A18,"Done")/14,0)</f>
        <v>0</v>
      </c>
    </row>
    <row r="3" customFormat="false" ht="6" hidden="false" customHeight="true" outlineLevel="0" collapsed="false"/>
    <row r="4" customFormat="false" ht="15" hidden="false" customHeight="false" outlineLevel="0" collapsed="false">
      <c r="A4" s="30" t="s">
        <v>66</v>
      </c>
      <c r="B4" s="30" t="s">
        <v>67</v>
      </c>
      <c r="C4" s="30" t="s">
        <v>5</v>
      </c>
      <c r="D4" s="30" t="s">
        <v>68</v>
      </c>
      <c r="E4" s="30" t="s">
        <v>7</v>
      </c>
      <c r="F4" s="30" t="s">
        <v>69</v>
      </c>
      <c r="G4" s="30" t="s">
        <v>70</v>
      </c>
      <c r="H4" s="30" t="s">
        <v>71</v>
      </c>
    </row>
    <row r="5" customFormat="false" ht="30" hidden="false" customHeight="true" outlineLevel="0" collapsed="false">
      <c r="A5" s="31"/>
      <c r="B5" s="5" t="s">
        <v>10</v>
      </c>
      <c r="C5" s="6" t="s">
        <v>12</v>
      </c>
      <c r="D5" s="4" t="s">
        <v>13</v>
      </c>
      <c r="E5" s="7" t="s">
        <v>14</v>
      </c>
      <c r="F5" s="4" t="s">
        <v>15</v>
      </c>
      <c r="G5" s="4"/>
      <c r="H5" s="32"/>
    </row>
    <row r="6" customFormat="false" ht="30" hidden="false" customHeight="true" outlineLevel="0" collapsed="false">
      <c r="A6" s="31"/>
      <c r="B6" s="10" t="s">
        <v>10</v>
      </c>
      <c r="C6" s="11" t="s">
        <v>16</v>
      </c>
      <c r="D6" s="9" t="s">
        <v>13</v>
      </c>
      <c r="E6" s="12" t="s">
        <v>17</v>
      </c>
      <c r="F6" s="9" t="s">
        <v>18</v>
      </c>
      <c r="G6" s="9"/>
      <c r="H6" s="33"/>
    </row>
    <row r="7" customFormat="false" ht="30" hidden="false" customHeight="true" outlineLevel="0" collapsed="false">
      <c r="A7" s="31"/>
      <c r="B7" s="5" t="s">
        <v>19</v>
      </c>
      <c r="C7" s="14" t="s">
        <v>20</v>
      </c>
      <c r="D7" s="4" t="s">
        <v>21</v>
      </c>
      <c r="E7" s="7" t="s">
        <v>22</v>
      </c>
      <c r="F7" s="4" t="s">
        <v>15</v>
      </c>
      <c r="G7" s="4"/>
      <c r="H7" s="32"/>
    </row>
    <row r="8" customFormat="false" ht="30" hidden="false" customHeight="true" outlineLevel="0" collapsed="false">
      <c r="A8" s="31"/>
      <c r="B8" s="10" t="s">
        <v>23</v>
      </c>
      <c r="C8" s="15" t="s">
        <v>24</v>
      </c>
      <c r="D8" s="9" t="s">
        <v>13</v>
      </c>
      <c r="E8" s="12" t="s">
        <v>25</v>
      </c>
      <c r="F8" s="9" t="s">
        <v>18</v>
      </c>
      <c r="G8" s="9"/>
      <c r="H8" s="33"/>
    </row>
    <row r="9" customFormat="false" ht="30" hidden="false" customHeight="true" outlineLevel="0" collapsed="false">
      <c r="A9" s="31"/>
      <c r="B9" s="5" t="s">
        <v>23</v>
      </c>
      <c r="C9" s="16" t="s">
        <v>27</v>
      </c>
      <c r="D9" s="4" t="s">
        <v>28</v>
      </c>
      <c r="E9" s="7" t="s">
        <v>29</v>
      </c>
      <c r="F9" s="4" t="s">
        <v>15</v>
      </c>
      <c r="G9" s="4"/>
      <c r="H9" s="32"/>
    </row>
    <row r="10" customFormat="false" ht="30" hidden="false" customHeight="true" outlineLevel="0" collapsed="false">
      <c r="A10" s="31"/>
      <c r="B10" s="10" t="s">
        <v>23</v>
      </c>
      <c r="C10" s="16" t="s">
        <v>27</v>
      </c>
      <c r="D10" s="9" t="s">
        <v>28</v>
      </c>
      <c r="E10" s="12" t="s">
        <v>30</v>
      </c>
      <c r="F10" s="9" t="s">
        <v>15</v>
      </c>
      <c r="G10" s="9"/>
      <c r="H10" s="33"/>
    </row>
    <row r="11" customFormat="false" ht="30" hidden="false" customHeight="true" outlineLevel="0" collapsed="false">
      <c r="A11" s="31"/>
      <c r="B11" s="5" t="s">
        <v>31</v>
      </c>
      <c r="C11" s="15" t="s">
        <v>24</v>
      </c>
      <c r="D11" s="4" t="s">
        <v>13</v>
      </c>
      <c r="E11" s="7" t="s">
        <v>32</v>
      </c>
      <c r="F11" s="4" t="s">
        <v>18</v>
      </c>
      <c r="G11" s="4"/>
      <c r="H11" s="32"/>
    </row>
    <row r="12" customFormat="false" ht="30" hidden="false" customHeight="true" outlineLevel="0" collapsed="false">
      <c r="A12" s="31"/>
      <c r="B12" s="10" t="s">
        <v>33</v>
      </c>
      <c r="C12" s="17" t="s">
        <v>34</v>
      </c>
      <c r="D12" s="9" t="s">
        <v>28</v>
      </c>
      <c r="E12" s="12" t="s">
        <v>35</v>
      </c>
      <c r="F12" s="9" t="s">
        <v>36</v>
      </c>
      <c r="G12" s="9"/>
      <c r="H12" s="33"/>
    </row>
    <row r="13" customFormat="false" ht="30" hidden="false" customHeight="true" outlineLevel="0" collapsed="false">
      <c r="A13" s="31"/>
      <c r="B13" s="5" t="s">
        <v>33</v>
      </c>
      <c r="C13" s="15" t="s">
        <v>24</v>
      </c>
      <c r="D13" s="4" t="s">
        <v>28</v>
      </c>
      <c r="E13" s="7" t="s">
        <v>37</v>
      </c>
      <c r="F13" s="4" t="s">
        <v>15</v>
      </c>
      <c r="G13" s="4"/>
      <c r="H13" s="32"/>
    </row>
    <row r="14" customFormat="false" ht="30" hidden="false" customHeight="true" outlineLevel="0" collapsed="false">
      <c r="A14" s="31"/>
      <c r="B14" s="10" t="s">
        <v>33</v>
      </c>
      <c r="C14" s="18" t="s">
        <v>38</v>
      </c>
      <c r="D14" s="9" t="s">
        <v>28</v>
      </c>
      <c r="E14" s="12" t="s">
        <v>39</v>
      </c>
      <c r="F14" s="9" t="s">
        <v>36</v>
      </c>
      <c r="G14" s="9"/>
      <c r="H14" s="33"/>
    </row>
    <row r="15" customFormat="false" ht="30" hidden="false" customHeight="true" outlineLevel="0" collapsed="false">
      <c r="A15" s="31"/>
      <c r="B15" s="5" t="s">
        <v>33</v>
      </c>
      <c r="C15" s="14" t="s">
        <v>20</v>
      </c>
      <c r="D15" s="4" t="s">
        <v>28</v>
      </c>
      <c r="E15" s="7" t="s">
        <v>37</v>
      </c>
      <c r="F15" s="4" t="s">
        <v>15</v>
      </c>
      <c r="G15" s="4"/>
      <c r="H15" s="32"/>
    </row>
    <row r="16" customFormat="false" ht="30" hidden="false" customHeight="true" outlineLevel="0" collapsed="false">
      <c r="A16" s="31"/>
      <c r="B16" s="10" t="s">
        <v>33</v>
      </c>
      <c r="C16" s="11" t="s">
        <v>16</v>
      </c>
      <c r="D16" s="9" t="s">
        <v>28</v>
      </c>
      <c r="E16" s="12" t="s">
        <v>37</v>
      </c>
      <c r="F16" s="9" t="s">
        <v>15</v>
      </c>
      <c r="G16" s="9"/>
      <c r="H16" s="33"/>
    </row>
    <row r="17" customFormat="false" ht="30" hidden="false" customHeight="true" outlineLevel="0" collapsed="false">
      <c r="A17" s="31"/>
      <c r="B17" s="5" t="s">
        <v>40</v>
      </c>
      <c r="C17" s="19" t="s">
        <v>41</v>
      </c>
      <c r="D17" s="4" t="s">
        <v>21</v>
      </c>
      <c r="E17" s="7" t="s">
        <v>42</v>
      </c>
      <c r="F17" s="4" t="s">
        <v>43</v>
      </c>
      <c r="G17" s="4"/>
      <c r="H17" s="32"/>
    </row>
    <row r="18" customFormat="false" ht="30" hidden="false" customHeight="true" outlineLevel="0" collapsed="false">
      <c r="A18" s="31"/>
      <c r="B18" s="10" t="s">
        <v>40</v>
      </c>
      <c r="C18" s="14" t="s">
        <v>20</v>
      </c>
      <c r="D18" s="9" t="s">
        <v>13</v>
      </c>
      <c r="E18" s="12" t="s">
        <v>44</v>
      </c>
      <c r="F18" s="9" t="s">
        <v>15</v>
      </c>
      <c r="G18" s="9"/>
      <c r="H18" s="33"/>
    </row>
  </sheetData>
  <mergeCells count="2">
    <mergeCell ref="A1:H1"/>
    <mergeCell ref="A2:B2"/>
  </mergeCells>
  <conditionalFormatting sqref="A5:H18">
    <cfRule type="cellIs" priority="2" operator="equal" aboveAverage="0" equalAverage="0" bottom="0" percent="0" rank="0" text="" dxfId="12">
      <formula>"Done"</formula>
    </cfRule>
  </conditionalFormatting>
  <conditionalFormatting sqref="A5:A18">
    <cfRule type="cellIs" priority="3" operator="equal" aboveAverage="0" equalAverage="0" bottom="0" percent="0" rank="0" text="" dxfId="13">
      <formula>"In Progress"</formula>
    </cfRule>
  </conditionalFormatting>
  <dataValidations count="1">
    <dataValidation allowBlank="true" error="Please select Done, In Progress, or N/A" errorStyle="stop" errorTitle="Invalid Status" operator="between" prompt="Select status" promptTitle="Task Status" showDropDown="false" showErrorMessage="false" showInputMessage="false" sqref="A5:A18" type="list">
      <formula1>"Done,In Progress,N/A"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50"/>
    <col collapsed="false" customWidth="true" hidden="false" outlineLevel="0" max="8" min="6" style="0" width="16"/>
  </cols>
  <sheetData>
    <row r="1" customFormat="false" ht="36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7" t="s">
        <v>65</v>
      </c>
      <c r="B2" s="27"/>
      <c r="C2" s="28" t="str">
        <f aca="false">COUNTIF(A5:A15,"Done") &amp; " / 11 complete"</f>
        <v>0 / 11 complete</v>
      </c>
      <c r="E2" s="29" t="n">
        <f aca="false">IF(11&gt;0,COUNTIF(A5:A15,"Done")/11,0)</f>
        <v>0</v>
      </c>
    </row>
    <row r="3" customFormat="false" ht="6" hidden="false" customHeight="true" outlineLevel="0" collapsed="false"/>
    <row r="4" customFormat="false" ht="15" hidden="false" customHeight="false" outlineLevel="0" collapsed="false">
      <c r="A4" s="30" t="s">
        <v>66</v>
      </c>
      <c r="B4" s="30" t="s">
        <v>67</v>
      </c>
      <c r="C4" s="30" t="s">
        <v>5</v>
      </c>
      <c r="D4" s="30" t="s">
        <v>68</v>
      </c>
      <c r="E4" s="30" t="s">
        <v>7</v>
      </c>
      <c r="F4" s="30" t="s">
        <v>69</v>
      </c>
      <c r="G4" s="30" t="s">
        <v>70</v>
      </c>
      <c r="H4" s="30" t="s">
        <v>71</v>
      </c>
    </row>
    <row r="5" customFormat="false" ht="30" hidden="false" customHeight="true" outlineLevel="0" collapsed="false">
      <c r="A5" s="31"/>
      <c r="B5" s="5" t="s">
        <v>10</v>
      </c>
      <c r="C5" s="6" t="s">
        <v>12</v>
      </c>
      <c r="D5" s="4" t="s">
        <v>13</v>
      </c>
      <c r="E5" s="7" t="s">
        <v>14</v>
      </c>
      <c r="F5" s="4" t="s">
        <v>15</v>
      </c>
      <c r="G5" s="4"/>
      <c r="H5" s="32"/>
    </row>
    <row r="6" customFormat="false" ht="30" hidden="false" customHeight="true" outlineLevel="0" collapsed="false">
      <c r="A6" s="31"/>
      <c r="B6" s="10" t="s">
        <v>10</v>
      </c>
      <c r="C6" s="11" t="s">
        <v>16</v>
      </c>
      <c r="D6" s="9" t="s">
        <v>13</v>
      </c>
      <c r="E6" s="12" t="s">
        <v>17</v>
      </c>
      <c r="F6" s="9" t="s">
        <v>18</v>
      </c>
      <c r="G6" s="9"/>
      <c r="H6" s="33"/>
    </row>
    <row r="7" customFormat="false" ht="30" hidden="false" customHeight="true" outlineLevel="0" collapsed="false">
      <c r="A7" s="31"/>
      <c r="B7" s="5" t="s">
        <v>19</v>
      </c>
      <c r="C7" s="14" t="s">
        <v>20</v>
      </c>
      <c r="D7" s="4" t="s">
        <v>21</v>
      </c>
      <c r="E7" s="7" t="s">
        <v>22</v>
      </c>
      <c r="F7" s="4" t="s">
        <v>15</v>
      </c>
      <c r="G7" s="4"/>
      <c r="H7" s="32"/>
    </row>
    <row r="8" customFormat="false" ht="30" hidden="false" customHeight="true" outlineLevel="0" collapsed="false">
      <c r="A8" s="31"/>
      <c r="B8" s="10" t="s">
        <v>23</v>
      </c>
      <c r="C8" s="15" t="s">
        <v>24</v>
      </c>
      <c r="D8" s="9" t="s">
        <v>13</v>
      </c>
      <c r="E8" s="12" t="s">
        <v>25</v>
      </c>
      <c r="F8" s="9" t="s">
        <v>18</v>
      </c>
      <c r="G8" s="9"/>
      <c r="H8" s="33"/>
    </row>
    <row r="9" customFormat="false" ht="30" hidden="false" customHeight="true" outlineLevel="0" collapsed="false">
      <c r="A9" s="31"/>
      <c r="B9" s="5" t="s">
        <v>31</v>
      </c>
      <c r="C9" s="15" t="s">
        <v>24</v>
      </c>
      <c r="D9" s="4" t="s">
        <v>13</v>
      </c>
      <c r="E9" s="7" t="s">
        <v>32</v>
      </c>
      <c r="F9" s="4" t="s">
        <v>18</v>
      </c>
      <c r="G9" s="4"/>
      <c r="H9" s="32"/>
    </row>
    <row r="10" customFormat="false" ht="30" hidden="false" customHeight="true" outlineLevel="0" collapsed="false">
      <c r="A10" s="31"/>
      <c r="B10" s="10" t="s">
        <v>33</v>
      </c>
      <c r="C10" s="17" t="s">
        <v>34</v>
      </c>
      <c r="D10" s="9" t="s">
        <v>28</v>
      </c>
      <c r="E10" s="12" t="s">
        <v>35</v>
      </c>
      <c r="F10" s="9" t="s">
        <v>36</v>
      </c>
      <c r="G10" s="9"/>
      <c r="H10" s="33"/>
    </row>
    <row r="11" customFormat="false" ht="30" hidden="false" customHeight="true" outlineLevel="0" collapsed="false">
      <c r="A11" s="31"/>
      <c r="B11" s="5" t="s">
        <v>33</v>
      </c>
      <c r="C11" s="15" t="s">
        <v>24</v>
      </c>
      <c r="D11" s="4" t="s">
        <v>28</v>
      </c>
      <c r="E11" s="7" t="s">
        <v>37</v>
      </c>
      <c r="F11" s="4" t="s">
        <v>15</v>
      </c>
      <c r="G11" s="4"/>
      <c r="H11" s="32"/>
    </row>
    <row r="12" customFormat="false" ht="30" hidden="false" customHeight="true" outlineLevel="0" collapsed="false">
      <c r="A12" s="31"/>
      <c r="B12" s="10" t="s">
        <v>33</v>
      </c>
      <c r="C12" s="18" t="s">
        <v>38</v>
      </c>
      <c r="D12" s="9" t="s">
        <v>28</v>
      </c>
      <c r="E12" s="12" t="s">
        <v>39</v>
      </c>
      <c r="F12" s="9" t="s">
        <v>36</v>
      </c>
      <c r="G12" s="9"/>
      <c r="H12" s="33"/>
    </row>
    <row r="13" customFormat="false" ht="30" hidden="false" customHeight="true" outlineLevel="0" collapsed="false">
      <c r="A13" s="31"/>
      <c r="B13" s="5" t="s">
        <v>33</v>
      </c>
      <c r="C13" s="14" t="s">
        <v>20</v>
      </c>
      <c r="D13" s="4" t="s">
        <v>28</v>
      </c>
      <c r="E13" s="7" t="s">
        <v>37</v>
      </c>
      <c r="F13" s="4" t="s">
        <v>15</v>
      </c>
      <c r="G13" s="4"/>
      <c r="H13" s="32"/>
    </row>
    <row r="14" customFormat="false" ht="30" hidden="false" customHeight="true" outlineLevel="0" collapsed="false">
      <c r="A14" s="31"/>
      <c r="B14" s="10" t="s">
        <v>33</v>
      </c>
      <c r="C14" s="11" t="s">
        <v>16</v>
      </c>
      <c r="D14" s="9" t="s">
        <v>28</v>
      </c>
      <c r="E14" s="12" t="s">
        <v>37</v>
      </c>
      <c r="F14" s="9" t="s">
        <v>15</v>
      </c>
      <c r="G14" s="9"/>
      <c r="H14" s="33"/>
    </row>
    <row r="15" customFormat="false" ht="30" hidden="false" customHeight="true" outlineLevel="0" collapsed="false">
      <c r="A15" s="31"/>
      <c r="B15" s="5" t="s">
        <v>40</v>
      </c>
      <c r="C15" s="14" t="s">
        <v>20</v>
      </c>
      <c r="D15" s="4" t="s">
        <v>13</v>
      </c>
      <c r="E15" s="7" t="s">
        <v>44</v>
      </c>
      <c r="F15" s="4" t="s">
        <v>15</v>
      </c>
      <c r="G15" s="4"/>
      <c r="H15" s="32"/>
    </row>
  </sheetData>
  <mergeCells count="2">
    <mergeCell ref="A1:H1"/>
    <mergeCell ref="A2:B2"/>
  </mergeCells>
  <conditionalFormatting sqref="A5:H15">
    <cfRule type="cellIs" priority="2" operator="equal" aboveAverage="0" equalAverage="0" bottom="0" percent="0" rank="0" text="" dxfId="12">
      <formula>"Done"</formula>
    </cfRule>
  </conditionalFormatting>
  <conditionalFormatting sqref="A5:A15">
    <cfRule type="cellIs" priority="3" operator="equal" aboveAverage="0" equalAverage="0" bottom="0" percent="0" rank="0" text="" dxfId="13">
      <formula>"In Progress"</formula>
    </cfRule>
  </conditionalFormatting>
  <dataValidations count="1">
    <dataValidation allowBlank="true" error="Please select Done, In Progress, or N/A" errorStyle="stop" errorTitle="Invalid Status" operator="between" prompt="Select status" promptTitle="Task Status" showDropDown="false" showErrorMessage="false" showInputMessage="false" sqref="A5:A15" type="list">
      <formula1>"Done,In Progress,N/A"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50"/>
    <col collapsed="false" customWidth="true" hidden="false" outlineLevel="0" max="8" min="6" style="0" width="16"/>
  </cols>
  <sheetData>
    <row r="1" customFormat="false" ht="36" hidden="false" customHeight="true" outlineLevel="0" collapsed="false">
      <c r="A1" s="1" t="s">
        <v>73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7" t="s">
        <v>65</v>
      </c>
      <c r="B2" s="27"/>
      <c r="C2" s="28" t="str">
        <f aca="false">COUNTIF(A5:A15,"Done") &amp; " / 11 complete"</f>
        <v>0 / 11 complete</v>
      </c>
      <c r="E2" s="29" t="n">
        <f aca="false">IF(11&gt;0,COUNTIF(A5:A15,"Done")/11,0)</f>
        <v>0</v>
      </c>
    </row>
    <row r="3" customFormat="false" ht="6" hidden="false" customHeight="true" outlineLevel="0" collapsed="false"/>
    <row r="4" customFormat="false" ht="15" hidden="false" customHeight="false" outlineLevel="0" collapsed="false">
      <c r="A4" s="30" t="s">
        <v>66</v>
      </c>
      <c r="B4" s="30" t="s">
        <v>67</v>
      </c>
      <c r="C4" s="30" t="s">
        <v>5</v>
      </c>
      <c r="D4" s="30" t="s">
        <v>68</v>
      </c>
      <c r="E4" s="30" t="s">
        <v>7</v>
      </c>
      <c r="F4" s="30" t="s">
        <v>69</v>
      </c>
      <c r="G4" s="30" t="s">
        <v>70</v>
      </c>
      <c r="H4" s="30" t="s">
        <v>71</v>
      </c>
    </row>
    <row r="5" customFormat="false" ht="30" hidden="false" customHeight="true" outlineLevel="0" collapsed="false">
      <c r="A5" s="31"/>
      <c r="B5" s="5" t="s">
        <v>10</v>
      </c>
      <c r="C5" s="6" t="s">
        <v>12</v>
      </c>
      <c r="D5" s="4" t="s">
        <v>13</v>
      </c>
      <c r="E5" s="7" t="s">
        <v>14</v>
      </c>
      <c r="F5" s="4" t="s">
        <v>15</v>
      </c>
      <c r="G5" s="4"/>
      <c r="H5" s="32"/>
    </row>
    <row r="6" customFormat="false" ht="30" hidden="false" customHeight="true" outlineLevel="0" collapsed="false">
      <c r="A6" s="31"/>
      <c r="B6" s="10" t="s">
        <v>10</v>
      </c>
      <c r="C6" s="11" t="s">
        <v>16</v>
      </c>
      <c r="D6" s="9" t="s">
        <v>13</v>
      </c>
      <c r="E6" s="12" t="s">
        <v>17</v>
      </c>
      <c r="F6" s="9" t="s">
        <v>18</v>
      </c>
      <c r="G6" s="9"/>
      <c r="H6" s="33"/>
    </row>
    <row r="7" customFormat="false" ht="30" hidden="false" customHeight="true" outlineLevel="0" collapsed="false">
      <c r="A7" s="31"/>
      <c r="B7" s="5" t="s">
        <v>19</v>
      </c>
      <c r="C7" s="14" t="s">
        <v>20</v>
      </c>
      <c r="D7" s="4" t="s">
        <v>21</v>
      </c>
      <c r="E7" s="7" t="s">
        <v>22</v>
      </c>
      <c r="F7" s="4" t="s">
        <v>15</v>
      </c>
      <c r="G7" s="4"/>
      <c r="H7" s="32"/>
    </row>
    <row r="8" customFormat="false" ht="30" hidden="false" customHeight="true" outlineLevel="0" collapsed="false">
      <c r="A8" s="31"/>
      <c r="B8" s="10" t="s">
        <v>23</v>
      </c>
      <c r="C8" s="15" t="s">
        <v>24</v>
      </c>
      <c r="D8" s="9" t="s">
        <v>13</v>
      </c>
      <c r="E8" s="12" t="s">
        <v>25</v>
      </c>
      <c r="F8" s="9" t="s">
        <v>18</v>
      </c>
      <c r="G8" s="9"/>
      <c r="H8" s="33"/>
    </row>
    <row r="9" customFormat="false" ht="30" hidden="false" customHeight="true" outlineLevel="0" collapsed="false">
      <c r="A9" s="31"/>
      <c r="B9" s="5" t="s">
        <v>31</v>
      </c>
      <c r="C9" s="15" t="s">
        <v>24</v>
      </c>
      <c r="D9" s="4" t="s">
        <v>13</v>
      </c>
      <c r="E9" s="7" t="s">
        <v>32</v>
      </c>
      <c r="F9" s="4" t="s">
        <v>18</v>
      </c>
      <c r="G9" s="4"/>
      <c r="H9" s="32"/>
    </row>
    <row r="10" customFormat="false" ht="30" hidden="false" customHeight="true" outlineLevel="0" collapsed="false">
      <c r="A10" s="31"/>
      <c r="B10" s="10" t="s">
        <v>33</v>
      </c>
      <c r="C10" s="17" t="s">
        <v>34</v>
      </c>
      <c r="D10" s="9" t="s">
        <v>28</v>
      </c>
      <c r="E10" s="12" t="s">
        <v>35</v>
      </c>
      <c r="F10" s="9" t="s">
        <v>36</v>
      </c>
      <c r="G10" s="9"/>
      <c r="H10" s="33"/>
    </row>
    <row r="11" customFormat="false" ht="30" hidden="false" customHeight="true" outlineLevel="0" collapsed="false">
      <c r="A11" s="31"/>
      <c r="B11" s="5" t="s">
        <v>33</v>
      </c>
      <c r="C11" s="15" t="s">
        <v>24</v>
      </c>
      <c r="D11" s="4" t="s">
        <v>28</v>
      </c>
      <c r="E11" s="7" t="s">
        <v>37</v>
      </c>
      <c r="F11" s="4" t="s">
        <v>15</v>
      </c>
      <c r="G11" s="4"/>
      <c r="H11" s="32"/>
    </row>
    <row r="12" customFormat="false" ht="30" hidden="false" customHeight="true" outlineLevel="0" collapsed="false">
      <c r="A12" s="31"/>
      <c r="B12" s="10" t="s">
        <v>33</v>
      </c>
      <c r="C12" s="18" t="s">
        <v>38</v>
      </c>
      <c r="D12" s="9" t="s">
        <v>28</v>
      </c>
      <c r="E12" s="12" t="s">
        <v>39</v>
      </c>
      <c r="F12" s="9" t="s">
        <v>36</v>
      </c>
      <c r="G12" s="9"/>
      <c r="H12" s="33"/>
    </row>
    <row r="13" customFormat="false" ht="30" hidden="false" customHeight="true" outlineLevel="0" collapsed="false">
      <c r="A13" s="31"/>
      <c r="B13" s="5" t="s">
        <v>33</v>
      </c>
      <c r="C13" s="14" t="s">
        <v>20</v>
      </c>
      <c r="D13" s="4" t="s">
        <v>28</v>
      </c>
      <c r="E13" s="7" t="s">
        <v>37</v>
      </c>
      <c r="F13" s="4" t="s">
        <v>15</v>
      </c>
      <c r="G13" s="4"/>
      <c r="H13" s="32"/>
    </row>
    <row r="14" customFormat="false" ht="30" hidden="false" customHeight="true" outlineLevel="0" collapsed="false">
      <c r="A14" s="31"/>
      <c r="B14" s="10" t="s">
        <v>33</v>
      </c>
      <c r="C14" s="11" t="s">
        <v>16</v>
      </c>
      <c r="D14" s="9" t="s">
        <v>28</v>
      </c>
      <c r="E14" s="12" t="s">
        <v>37</v>
      </c>
      <c r="F14" s="9" t="s">
        <v>15</v>
      </c>
      <c r="G14" s="9"/>
      <c r="H14" s="33"/>
    </row>
    <row r="15" customFormat="false" ht="30" hidden="false" customHeight="true" outlineLevel="0" collapsed="false">
      <c r="A15" s="31"/>
      <c r="B15" s="5" t="s">
        <v>40</v>
      </c>
      <c r="C15" s="14" t="s">
        <v>20</v>
      </c>
      <c r="D15" s="4" t="s">
        <v>13</v>
      </c>
      <c r="E15" s="7" t="s">
        <v>44</v>
      </c>
      <c r="F15" s="4" t="s">
        <v>15</v>
      </c>
      <c r="G15" s="4"/>
      <c r="H15" s="32"/>
    </row>
  </sheetData>
  <mergeCells count="2">
    <mergeCell ref="A1:H1"/>
    <mergeCell ref="A2:B2"/>
  </mergeCells>
  <conditionalFormatting sqref="A5:H15">
    <cfRule type="cellIs" priority="2" operator="equal" aboveAverage="0" equalAverage="0" bottom="0" percent="0" rank="0" text="" dxfId="12">
      <formula>"Done"</formula>
    </cfRule>
  </conditionalFormatting>
  <conditionalFormatting sqref="A5:A15">
    <cfRule type="cellIs" priority="3" operator="equal" aboveAverage="0" equalAverage="0" bottom="0" percent="0" rank="0" text="" dxfId="13">
      <formula>"In Progress"</formula>
    </cfRule>
  </conditionalFormatting>
  <dataValidations count="1">
    <dataValidation allowBlank="true" error="Please select Done, In Progress, or N/A" errorStyle="stop" errorTitle="Invalid Status" operator="between" prompt="Select status" promptTitle="Task Status" showDropDown="false" showErrorMessage="false" showInputMessage="false" sqref="A5:A15" type="list">
      <formula1>"Done,In Progress,N/A"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50"/>
    <col collapsed="false" customWidth="true" hidden="false" outlineLevel="0" max="8" min="6" style="0" width="16"/>
  </cols>
  <sheetData>
    <row r="1" customFormat="false" ht="36" hidden="false" customHeight="true" outlineLevel="0" collapsed="false">
      <c r="A1" s="1" t="s">
        <v>74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7" t="s">
        <v>65</v>
      </c>
      <c r="B2" s="27"/>
      <c r="C2" s="28" t="str">
        <f aca="false">COUNTIF(A5:A18,"Done") &amp; " / 14 complete"</f>
        <v>0 / 14 complete</v>
      </c>
      <c r="E2" s="29" t="n">
        <f aca="false">IF(14&gt;0,COUNTIF(A5:A18,"Done")/14,0)</f>
        <v>0</v>
      </c>
    </row>
    <row r="3" customFormat="false" ht="6" hidden="false" customHeight="true" outlineLevel="0" collapsed="false"/>
    <row r="4" customFormat="false" ht="15" hidden="false" customHeight="false" outlineLevel="0" collapsed="false">
      <c r="A4" s="30" t="s">
        <v>66</v>
      </c>
      <c r="B4" s="30" t="s">
        <v>67</v>
      </c>
      <c r="C4" s="30" t="s">
        <v>5</v>
      </c>
      <c r="D4" s="30" t="s">
        <v>68</v>
      </c>
      <c r="E4" s="30" t="s">
        <v>7</v>
      </c>
      <c r="F4" s="30" t="s">
        <v>69</v>
      </c>
      <c r="G4" s="30" t="s">
        <v>70</v>
      </c>
      <c r="H4" s="30" t="s">
        <v>71</v>
      </c>
    </row>
    <row r="5" customFormat="false" ht="30" hidden="false" customHeight="true" outlineLevel="0" collapsed="false">
      <c r="A5" s="31"/>
      <c r="B5" s="5" t="s">
        <v>10</v>
      </c>
      <c r="C5" s="6" t="s">
        <v>12</v>
      </c>
      <c r="D5" s="4" t="s">
        <v>13</v>
      </c>
      <c r="E5" s="7" t="s">
        <v>14</v>
      </c>
      <c r="F5" s="4" t="s">
        <v>15</v>
      </c>
      <c r="G5" s="4"/>
      <c r="H5" s="32"/>
    </row>
    <row r="6" customFormat="false" ht="30" hidden="false" customHeight="true" outlineLevel="0" collapsed="false">
      <c r="A6" s="31"/>
      <c r="B6" s="10" t="s">
        <v>10</v>
      </c>
      <c r="C6" s="11" t="s">
        <v>16</v>
      </c>
      <c r="D6" s="9" t="s">
        <v>13</v>
      </c>
      <c r="E6" s="12" t="s">
        <v>17</v>
      </c>
      <c r="F6" s="9" t="s">
        <v>18</v>
      </c>
      <c r="G6" s="9"/>
      <c r="H6" s="33"/>
    </row>
    <row r="7" customFormat="false" ht="30" hidden="false" customHeight="true" outlineLevel="0" collapsed="false">
      <c r="A7" s="31"/>
      <c r="B7" s="5" t="s">
        <v>19</v>
      </c>
      <c r="C7" s="14" t="s">
        <v>20</v>
      </c>
      <c r="D7" s="4" t="s">
        <v>21</v>
      </c>
      <c r="E7" s="7" t="s">
        <v>22</v>
      </c>
      <c r="F7" s="4" t="s">
        <v>15</v>
      </c>
      <c r="G7" s="4"/>
      <c r="H7" s="32"/>
    </row>
    <row r="8" customFormat="false" ht="30" hidden="false" customHeight="true" outlineLevel="0" collapsed="false">
      <c r="A8" s="31"/>
      <c r="B8" s="10" t="s">
        <v>23</v>
      </c>
      <c r="C8" s="15" t="s">
        <v>24</v>
      </c>
      <c r="D8" s="9" t="s">
        <v>13</v>
      </c>
      <c r="E8" s="12" t="s">
        <v>25</v>
      </c>
      <c r="F8" s="9" t="s">
        <v>18</v>
      </c>
      <c r="G8" s="9"/>
      <c r="H8" s="33"/>
    </row>
    <row r="9" customFormat="false" ht="30" hidden="false" customHeight="true" outlineLevel="0" collapsed="false">
      <c r="A9" s="31"/>
      <c r="B9" s="5" t="s">
        <v>23</v>
      </c>
      <c r="C9" s="16" t="s">
        <v>27</v>
      </c>
      <c r="D9" s="4" t="s">
        <v>28</v>
      </c>
      <c r="E9" s="7" t="s">
        <v>29</v>
      </c>
      <c r="F9" s="4" t="s">
        <v>15</v>
      </c>
      <c r="G9" s="4"/>
      <c r="H9" s="32"/>
    </row>
    <row r="10" customFormat="false" ht="30" hidden="false" customHeight="true" outlineLevel="0" collapsed="false">
      <c r="A10" s="31"/>
      <c r="B10" s="10" t="s">
        <v>23</v>
      </c>
      <c r="C10" s="16" t="s">
        <v>27</v>
      </c>
      <c r="D10" s="9" t="s">
        <v>28</v>
      </c>
      <c r="E10" s="12" t="s">
        <v>30</v>
      </c>
      <c r="F10" s="9" t="s">
        <v>15</v>
      </c>
      <c r="G10" s="9"/>
      <c r="H10" s="33"/>
    </row>
    <row r="11" customFormat="false" ht="30" hidden="false" customHeight="true" outlineLevel="0" collapsed="false">
      <c r="A11" s="31"/>
      <c r="B11" s="5" t="s">
        <v>31</v>
      </c>
      <c r="C11" s="15" t="s">
        <v>24</v>
      </c>
      <c r="D11" s="4" t="s">
        <v>13</v>
      </c>
      <c r="E11" s="7" t="s">
        <v>32</v>
      </c>
      <c r="F11" s="4" t="s">
        <v>18</v>
      </c>
      <c r="G11" s="4"/>
      <c r="H11" s="32"/>
    </row>
    <row r="12" customFormat="false" ht="30" hidden="false" customHeight="true" outlineLevel="0" collapsed="false">
      <c r="A12" s="31"/>
      <c r="B12" s="10" t="s">
        <v>33</v>
      </c>
      <c r="C12" s="17" t="s">
        <v>34</v>
      </c>
      <c r="D12" s="9" t="s">
        <v>28</v>
      </c>
      <c r="E12" s="12" t="s">
        <v>35</v>
      </c>
      <c r="F12" s="9" t="s">
        <v>36</v>
      </c>
      <c r="G12" s="9"/>
      <c r="H12" s="33"/>
    </row>
    <row r="13" customFormat="false" ht="30" hidden="false" customHeight="true" outlineLevel="0" collapsed="false">
      <c r="A13" s="31"/>
      <c r="B13" s="5" t="s">
        <v>33</v>
      </c>
      <c r="C13" s="15" t="s">
        <v>24</v>
      </c>
      <c r="D13" s="4" t="s">
        <v>28</v>
      </c>
      <c r="E13" s="7" t="s">
        <v>37</v>
      </c>
      <c r="F13" s="4" t="s">
        <v>15</v>
      </c>
      <c r="G13" s="4"/>
      <c r="H13" s="32"/>
    </row>
    <row r="14" customFormat="false" ht="30" hidden="false" customHeight="true" outlineLevel="0" collapsed="false">
      <c r="A14" s="31"/>
      <c r="B14" s="10" t="s">
        <v>33</v>
      </c>
      <c r="C14" s="18" t="s">
        <v>38</v>
      </c>
      <c r="D14" s="9" t="s">
        <v>28</v>
      </c>
      <c r="E14" s="12" t="s">
        <v>39</v>
      </c>
      <c r="F14" s="9" t="s">
        <v>36</v>
      </c>
      <c r="G14" s="9"/>
      <c r="H14" s="33"/>
    </row>
    <row r="15" customFormat="false" ht="30" hidden="false" customHeight="true" outlineLevel="0" collapsed="false">
      <c r="A15" s="31"/>
      <c r="B15" s="5" t="s">
        <v>33</v>
      </c>
      <c r="C15" s="14" t="s">
        <v>20</v>
      </c>
      <c r="D15" s="4" t="s">
        <v>28</v>
      </c>
      <c r="E15" s="7" t="s">
        <v>37</v>
      </c>
      <c r="F15" s="4" t="s">
        <v>15</v>
      </c>
      <c r="G15" s="4"/>
      <c r="H15" s="32"/>
    </row>
    <row r="16" customFormat="false" ht="30" hidden="false" customHeight="true" outlineLevel="0" collapsed="false">
      <c r="A16" s="31"/>
      <c r="B16" s="10" t="s">
        <v>33</v>
      </c>
      <c r="C16" s="11" t="s">
        <v>16</v>
      </c>
      <c r="D16" s="9" t="s">
        <v>28</v>
      </c>
      <c r="E16" s="12" t="s">
        <v>37</v>
      </c>
      <c r="F16" s="9" t="s">
        <v>15</v>
      </c>
      <c r="G16" s="9"/>
      <c r="H16" s="33"/>
    </row>
    <row r="17" customFormat="false" ht="30" hidden="false" customHeight="true" outlineLevel="0" collapsed="false">
      <c r="A17" s="31"/>
      <c r="B17" s="5" t="s">
        <v>40</v>
      </c>
      <c r="C17" s="19" t="s">
        <v>41</v>
      </c>
      <c r="D17" s="4" t="s">
        <v>21</v>
      </c>
      <c r="E17" s="7" t="s">
        <v>42</v>
      </c>
      <c r="F17" s="4" t="s">
        <v>43</v>
      </c>
      <c r="G17" s="4"/>
      <c r="H17" s="32"/>
    </row>
    <row r="18" customFormat="false" ht="30" hidden="false" customHeight="true" outlineLevel="0" collapsed="false">
      <c r="A18" s="31"/>
      <c r="B18" s="10" t="s">
        <v>40</v>
      </c>
      <c r="C18" s="14" t="s">
        <v>20</v>
      </c>
      <c r="D18" s="9" t="s">
        <v>13</v>
      </c>
      <c r="E18" s="12" t="s">
        <v>44</v>
      </c>
      <c r="F18" s="9" t="s">
        <v>15</v>
      </c>
      <c r="G18" s="9"/>
      <c r="H18" s="33"/>
    </row>
  </sheetData>
  <mergeCells count="2">
    <mergeCell ref="A1:H1"/>
    <mergeCell ref="A2:B2"/>
  </mergeCells>
  <conditionalFormatting sqref="A5:H18">
    <cfRule type="cellIs" priority="2" operator="equal" aboveAverage="0" equalAverage="0" bottom="0" percent="0" rank="0" text="" dxfId="12">
      <formula>"Done"</formula>
    </cfRule>
  </conditionalFormatting>
  <conditionalFormatting sqref="A5:A18">
    <cfRule type="cellIs" priority="3" operator="equal" aboveAverage="0" equalAverage="0" bottom="0" percent="0" rank="0" text="" dxfId="13">
      <formula>"In Progress"</formula>
    </cfRule>
  </conditionalFormatting>
  <dataValidations count="1">
    <dataValidation allowBlank="true" error="Please select Done, In Progress, or N/A" errorStyle="stop" errorTitle="Invalid Status" operator="between" prompt="Select status" promptTitle="Task Status" showDropDown="false" showErrorMessage="false" showInputMessage="false" sqref="A5:A18" type="list">
      <formula1>"Done,In Progress,N/A"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50"/>
    <col collapsed="false" customWidth="true" hidden="false" outlineLevel="0" max="8" min="6" style="0" width="16"/>
  </cols>
  <sheetData>
    <row r="1" customFormat="false" ht="36" hidden="false" customHeight="true" outlineLevel="0" collapsed="false">
      <c r="A1" s="1" t="s">
        <v>75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7" t="s">
        <v>65</v>
      </c>
      <c r="B2" s="27"/>
      <c r="C2" s="28" t="str">
        <f aca="false">COUNTIF(A5:A15,"Done") &amp; " / 11 complete"</f>
        <v>0 / 11 complete</v>
      </c>
      <c r="E2" s="29" t="n">
        <f aca="false">IF(11&gt;0,COUNTIF(A5:A15,"Done")/11,0)</f>
        <v>0</v>
      </c>
    </row>
    <row r="3" customFormat="false" ht="6" hidden="false" customHeight="true" outlineLevel="0" collapsed="false"/>
    <row r="4" customFormat="false" ht="15" hidden="false" customHeight="false" outlineLevel="0" collapsed="false">
      <c r="A4" s="30" t="s">
        <v>66</v>
      </c>
      <c r="B4" s="30" t="s">
        <v>67</v>
      </c>
      <c r="C4" s="30" t="s">
        <v>5</v>
      </c>
      <c r="D4" s="30" t="s">
        <v>68</v>
      </c>
      <c r="E4" s="30" t="s">
        <v>7</v>
      </c>
      <c r="F4" s="30" t="s">
        <v>69</v>
      </c>
      <c r="G4" s="30" t="s">
        <v>70</v>
      </c>
      <c r="H4" s="30" t="s">
        <v>71</v>
      </c>
    </row>
    <row r="5" customFormat="false" ht="30" hidden="false" customHeight="true" outlineLevel="0" collapsed="false">
      <c r="A5" s="31"/>
      <c r="B5" s="5" t="s">
        <v>10</v>
      </c>
      <c r="C5" s="6" t="s">
        <v>12</v>
      </c>
      <c r="D5" s="4" t="s">
        <v>13</v>
      </c>
      <c r="E5" s="7" t="s">
        <v>14</v>
      </c>
      <c r="F5" s="4" t="s">
        <v>15</v>
      </c>
      <c r="G5" s="4"/>
      <c r="H5" s="32"/>
    </row>
    <row r="6" customFormat="false" ht="30" hidden="false" customHeight="true" outlineLevel="0" collapsed="false">
      <c r="A6" s="31"/>
      <c r="B6" s="10" t="s">
        <v>10</v>
      </c>
      <c r="C6" s="11" t="s">
        <v>16</v>
      </c>
      <c r="D6" s="9" t="s">
        <v>13</v>
      </c>
      <c r="E6" s="12" t="s">
        <v>17</v>
      </c>
      <c r="F6" s="9" t="s">
        <v>18</v>
      </c>
      <c r="G6" s="9"/>
      <c r="H6" s="33"/>
    </row>
    <row r="7" customFormat="false" ht="30" hidden="false" customHeight="true" outlineLevel="0" collapsed="false">
      <c r="A7" s="31"/>
      <c r="B7" s="5" t="s">
        <v>19</v>
      </c>
      <c r="C7" s="14" t="s">
        <v>20</v>
      </c>
      <c r="D7" s="4" t="s">
        <v>21</v>
      </c>
      <c r="E7" s="7" t="s">
        <v>22</v>
      </c>
      <c r="F7" s="4" t="s">
        <v>15</v>
      </c>
      <c r="G7" s="4"/>
      <c r="H7" s="32"/>
    </row>
    <row r="8" customFormat="false" ht="30" hidden="false" customHeight="true" outlineLevel="0" collapsed="false">
      <c r="A8" s="31"/>
      <c r="B8" s="10" t="s">
        <v>23</v>
      </c>
      <c r="C8" s="15" t="s">
        <v>24</v>
      </c>
      <c r="D8" s="9" t="s">
        <v>13</v>
      </c>
      <c r="E8" s="12" t="s">
        <v>25</v>
      </c>
      <c r="F8" s="9" t="s">
        <v>18</v>
      </c>
      <c r="G8" s="9"/>
      <c r="H8" s="33"/>
    </row>
    <row r="9" customFormat="false" ht="30" hidden="false" customHeight="true" outlineLevel="0" collapsed="false">
      <c r="A9" s="31"/>
      <c r="B9" s="5" t="s">
        <v>31</v>
      </c>
      <c r="C9" s="15" t="s">
        <v>24</v>
      </c>
      <c r="D9" s="4" t="s">
        <v>13</v>
      </c>
      <c r="E9" s="7" t="s">
        <v>32</v>
      </c>
      <c r="F9" s="4" t="s">
        <v>18</v>
      </c>
      <c r="G9" s="4"/>
      <c r="H9" s="32"/>
    </row>
    <row r="10" customFormat="false" ht="30" hidden="false" customHeight="true" outlineLevel="0" collapsed="false">
      <c r="A10" s="31"/>
      <c r="B10" s="10" t="s">
        <v>33</v>
      </c>
      <c r="C10" s="17" t="s">
        <v>34</v>
      </c>
      <c r="D10" s="9" t="s">
        <v>28</v>
      </c>
      <c r="E10" s="12" t="s">
        <v>35</v>
      </c>
      <c r="F10" s="9" t="s">
        <v>36</v>
      </c>
      <c r="G10" s="9"/>
      <c r="H10" s="33"/>
    </row>
    <row r="11" customFormat="false" ht="30" hidden="false" customHeight="true" outlineLevel="0" collapsed="false">
      <c r="A11" s="31"/>
      <c r="B11" s="5" t="s">
        <v>33</v>
      </c>
      <c r="C11" s="15" t="s">
        <v>24</v>
      </c>
      <c r="D11" s="4" t="s">
        <v>28</v>
      </c>
      <c r="E11" s="7" t="s">
        <v>37</v>
      </c>
      <c r="F11" s="4" t="s">
        <v>15</v>
      </c>
      <c r="G11" s="4"/>
      <c r="H11" s="32"/>
    </row>
    <row r="12" customFormat="false" ht="30" hidden="false" customHeight="true" outlineLevel="0" collapsed="false">
      <c r="A12" s="31"/>
      <c r="B12" s="10" t="s">
        <v>33</v>
      </c>
      <c r="C12" s="18" t="s">
        <v>38</v>
      </c>
      <c r="D12" s="9" t="s">
        <v>28</v>
      </c>
      <c r="E12" s="12" t="s">
        <v>39</v>
      </c>
      <c r="F12" s="9" t="s">
        <v>36</v>
      </c>
      <c r="G12" s="9"/>
      <c r="H12" s="33"/>
    </row>
    <row r="13" customFormat="false" ht="30" hidden="false" customHeight="true" outlineLevel="0" collapsed="false">
      <c r="A13" s="31"/>
      <c r="B13" s="5" t="s">
        <v>33</v>
      </c>
      <c r="C13" s="14" t="s">
        <v>20</v>
      </c>
      <c r="D13" s="4" t="s">
        <v>28</v>
      </c>
      <c r="E13" s="7" t="s">
        <v>37</v>
      </c>
      <c r="F13" s="4" t="s">
        <v>15</v>
      </c>
      <c r="G13" s="4"/>
      <c r="H13" s="32"/>
    </row>
    <row r="14" customFormat="false" ht="30" hidden="false" customHeight="true" outlineLevel="0" collapsed="false">
      <c r="A14" s="31"/>
      <c r="B14" s="10" t="s">
        <v>33</v>
      </c>
      <c r="C14" s="11" t="s">
        <v>16</v>
      </c>
      <c r="D14" s="9" t="s">
        <v>28</v>
      </c>
      <c r="E14" s="12" t="s">
        <v>37</v>
      </c>
      <c r="F14" s="9" t="s">
        <v>15</v>
      </c>
      <c r="G14" s="9"/>
      <c r="H14" s="33"/>
    </row>
    <row r="15" customFormat="false" ht="30" hidden="false" customHeight="true" outlineLevel="0" collapsed="false">
      <c r="A15" s="31"/>
      <c r="B15" s="5" t="s">
        <v>40</v>
      </c>
      <c r="C15" s="14" t="s">
        <v>20</v>
      </c>
      <c r="D15" s="4" t="s">
        <v>13</v>
      </c>
      <c r="E15" s="7" t="s">
        <v>44</v>
      </c>
      <c r="F15" s="4" t="s">
        <v>15</v>
      </c>
      <c r="G15" s="4"/>
      <c r="H15" s="32"/>
    </row>
  </sheetData>
  <mergeCells count="2">
    <mergeCell ref="A1:H1"/>
    <mergeCell ref="A2:B2"/>
  </mergeCells>
  <conditionalFormatting sqref="A5:H15">
    <cfRule type="cellIs" priority="2" operator="equal" aboveAverage="0" equalAverage="0" bottom="0" percent="0" rank="0" text="" dxfId="12">
      <formula>"Done"</formula>
    </cfRule>
  </conditionalFormatting>
  <conditionalFormatting sqref="A5:A15">
    <cfRule type="cellIs" priority="3" operator="equal" aboveAverage="0" equalAverage="0" bottom="0" percent="0" rank="0" text="" dxfId="13">
      <formula>"In Progress"</formula>
    </cfRule>
  </conditionalFormatting>
  <dataValidations count="1">
    <dataValidation allowBlank="true" error="Please select Done, In Progress, or N/A" errorStyle="stop" errorTitle="Invalid Status" operator="between" prompt="Select status" promptTitle="Task Status" showDropDown="false" showErrorMessage="false" showInputMessage="false" sqref="A5:A15" type="list">
      <formula1>"Done,In Progress,N/A"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50"/>
    <col collapsed="false" customWidth="true" hidden="false" outlineLevel="0" max="8" min="6" style="0" width="16"/>
  </cols>
  <sheetData>
    <row r="1" customFormat="false" ht="36" hidden="false" customHeight="true" outlineLevel="0" collapsed="false">
      <c r="A1" s="1" t="s">
        <v>76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7" t="s">
        <v>65</v>
      </c>
      <c r="B2" s="27"/>
      <c r="C2" s="28" t="str">
        <f aca="false">COUNTIF(A5:A15,"Done") &amp; " / 11 complete"</f>
        <v>0 / 11 complete</v>
      </c>
      <c r="E2" s="29" t="n">
        <f aca="false">IF(11&gt;0,COUNTIF(A5:A15,"Done")/11,0)</f>
        <v>0</v>
      </c>
    </row>
    <row r="3" customFormat="false" ht="6" hidden="false" customHeight="true" outlineLevel="0" collapsed="false"/>
    <row r="4" customFormat="false" ht="15" hidden="false" customHeight="false" outlineLevel="0" collapsed="false">
      <c r="A4" s="30" t="s">
        <v>66</v>
      </c>
      <c r="B4" s="30" t="s">
        <v>67</v>
      </c>
      <c r="C4" s="30" t="s">
        <v>5</v>
      </c>
      <c r="D4" s="30" t="s">
        <v>68</v>
      </c>
      <c r="E4" s="30" t="s">
        <v>7</v>
      </c>
      <c r="F4" s="30" t="s">
        <v>69</v>
      </c>
      <c r="G4" s="30" t="s">
        <v>70</v>
      </c>
      <c r="H4" s="30" t="s">
        <v>71</v>
      </c>
    </row>
    <row r="5" customFormat="false" ht="30" hidden="false" customHeight="true" outlineLevel="0" collapsed="false">
      <c r="A5" s="31"/>
      <c r="B5" s="5" t="s">
        <v>10</v>
      </c>
      <c r="C5" s="6" t="s">
        <v>12</v>
      </c>
      <c r="D5" s="4" t="s">
        <v>13</v>
      </c>
      <c r="E5" s="7" t="s">
        <v>14</v>
      </c>
      <c r="F5" s="4" t="s">
        <v>15</v>
      </c>
      <c r="G5" s="4"/>
      <c r="H5" s="32"/>
    </row>
    <row r="6" customFormat="false" ht="30" hidden="false" customHeight="true" outlineLevel="0" collapsed="false">
      <c r="A6" s="31"/>
      <c r="B6" s="10" t="s">
        <v>10</v>
      </c>
      <c r="C6" s="11" t="s">
        <v>16</v>
      </c>
      <c r="D6" s="9" t="s">
        <v>13</v>
      </c>
      <c r="E6" s="12" t="s">
        <v>17</v>
      </c>
      <c r="F6" s="9" t="s">
        <v>18</v>
      </c>
      <c r="G6" s="9"/>
      <c r="H6" s="33"/>
    </row>
    <row r="7" customFormat="false" ht="30" hidden="false" customHeight="true" outlineLevel="0" collapsed="false">
      <c r="A7" s="31"/>
      <c r="B7" s="5" t="s">
        <v>19</v>
      </c>
      <c r="C7" s="14" t="s">
        <v>20</v>
      </c>
      <c r="D7" s="4" t="s">
        <v>21</v>
      </c>
      <c r="E7" s="7" t="s">
        <v>22</v>
      </c>
      <c r="F7" s="4" t="s">
        <v>15</v>
      </c>
      <c r="G7" s="4"/>
      <c r="H7" s="32"/>
    </row>
    <row r="8" customFormat="false" ht="30" hidden="false" customHeight="true" outlineLevel="0" collapsed="false">
      <c r="A8" s="31"/>
      <c r="B8" s="10" t="s">
        <v>23</v>
      </c>
      <c r="C8" s="15" t="s">
        <v>24</v>
      </c>
      <c r="D8" s="9" t="s">
        <v>13</v>
      </c>
      <c r="E8" s="12" t="s">
        <v>25</v>
      </c>
      <c r="F8" s="9" t="s">
        <v>18</v>
      </c>
      <c r="G8" s="9"/>
      <c r="H8" s="33"/>
    </row>
    <row r="9" customFormat="false" ht="30" hidden="false" customHeight="true" outlineLevel="0" collapsed="false">
      <c r="A9" s="31"/>
      <c r="B9" s="5" t="s">
        <v>31</v>
      </c>
      <c r="C9" s="15" t="s">
        <v>24</v>
      </c>
      <c r="D9" s="4" t="s">
        <v>13</v>
      </c>
      <c r="E9" s="7" t="s">
        <v>32</v>
      </c>
      <c r="F9" s="4" t="s">
        <v>18</v>
      </c>
      <c r="G9" s="4"/>
      <c r="H9" s="32"/>
    </row>
    <row r="10" customFormat="false" ht="30" hidden="false" customHeight="true" outlineLevel="0" collapsed="false">
      <c r="A10" s="31"/>
      <c r="B10" s="10" t="s">
        <v>33</v>
      </c>
      <c r="C10" s="17" t="s">
        <v>34</v>
      </c>
      <c r="D10" s="9" t="s">
        <v>28</v>
      </c>
      <c r="E10" s="12" t="s">
        <v>35</v>
      </c>
      <c r="F10" s="9" t="s">
        <v>36</v>
      </c>
      <c r="G10" s="9"/>
      <c r="H10" s="33"/>
    </row>
    <row r="11" customFormat="false" ht="30" hidden="false" customHeight="true" outlineLevel="0" collapsed="false">
      <c r="A11" s="31"/>
      <c r="B11" s="5" t="s">
        <v>33</v>
      </c>
      <c r="C11" s="15" t="s">
        <v>24</v>
      </c>
      <c r="D11" s="4" t="s">
        <v>28</v>
      </c>
      <c r="E11" s="7" t="s">
        <v>37</v>
      </c>
      <c r="F11" s="4" t="s">
        <v>15</v>
      </c>
      <c r="G11" s="4"/>
      <c r="H11" s="32"/>
    </row>
    <row r="12" customFormat="false" ht="30" hidden="false" customHeight="true" outlineLevel="0" collapsed="false">
      <c r="A12" s="31"/>
      <c r="B12" s="10" t="s">
        <v>33</v>
      </c>
      <c r="C12" s="18" t="s">
        <v>38</v>
      </c>
      <c r="D12" s="9" t="s">
        <v>28</v>
      </c>
      <c r="E12" s="12" t="s">
        <v>39</v>
      </c>
      <c r="F12" s="9" t="s">
        <v>36</v>
      </c>
      <c r="G12" s="9"/>
      <c r="H12" s="33"/>
    </row>
    <row r="13" customFormat="false" ht="30" hidden="false" customHeight="true" outlineLevel="0" collapsed="false">
      <c r="A13" s="31"/>
      <c r="B13" s="5" t="s">
        <v>33</v>
      </c>
      <c r="C13" s="14" t="s">
        <v>20</v>
      </c>
      <c r="D13" s="4" t="s">
        <v>28</v>
      </c>
      <c r="E13" s="7" t="s">
        <v>37</v>
      </c>
      <c r="F13" s="4" t="s">
        <v>15</v>
      </c>
      <c r="G13" s="4"/>
      <c r="H13" s="32"/>
    </row>
    <row r="14" customFormat="false" ht="30" hidden="false" customHeight="true" outlineLevel="0" collapsed="false">
      <c r="A14" s="31"/>
      <c r="B14" s="10" t="s">
        <v>33</v>
      </c>
      <c r="C14" s="11" t="s">
        <v>16</v>
      </c>
      <c r="D14" s="9" t="s">
        <v>28</v>
      </c>
      <c r="E14" s="12" t="s">
        <v>37</v>
      </c>
      <c r="F14" s="9" t="s">
        <v>15</v>
      </c>
      <c r="G14" s="9"/>
      <c r="H14" s="33"/>
    </row>
    <row r="15" customFormat="false" ht="30" hidden="false" customHeight="true" outlineLevel="0" collapsed="false">
      <c r="A15" s="31"/>
      <c r="B15" s="5" t="s">
        <v>40</v>
      </c>
      <c r="C15" s="14" t="s">
        <v>20</v>
      </c>
      <c r="D15" s="4" t="s">
        <v>13</v>
      </c>
      <c r="E15" s="7" t="s">
        <v>44</v>
      </c>
      <c r="F15" s="4" t="s">
        <v>15</v>
      </c>
      <c r="G15" s="4"/>
      <c r="H15" s="32"/>
    </row>
  </sheetData>
  <mergeCells count="2">
    <mergeCell ref="A1:H1"/>
    <mergeCell ref="A2:B2"/>
  </mergeCells>
  <conditionalFormatting sqref="A5:H15">
    <cfRule type="cellIs" priority="2" operator="equal" aboveAverage="0" equalAverage="0" bottom="0" percent="0" rank="0" text="" dxfId="12">
      <formula>"Done"</formula>
    </cfRule>
  </conditionalFormatting>
  <conditionalFormatting sqref="A5:A15">
    <cfRule type="cellIs" priority="3" operator="equal" aboveAverage="0" equalAverage="0" bottom="0" percent="0" rank="0" text="" dxfId="13">
      <formula>"In Progress"</formula>
    </cfRule>
  </conditionalFormatting>
  <dataValidations count="1">
    <dataValidation allowBlank="true" error="Please select Done, In Progress, or N/A" errorStyle="stop" errorTitle="Invalid Status" operator="between" prompt="Select status" promptTitle="Task Status" showDropDown="false" showErrorMessage="false" showInputMessage="false" sqref="A5:A15" type="list">
      <formula1>"Done,In Progress,N/A"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50"/>
    <col collapsed="false" customWidth="true" hidden="false" outlineLevel="0" max="8" min="6" style="0" width="16"/>
  </cols>
  <sheetData>
    <row r="1" customFormat="false" ht="36" hidden="false" customHeight="true" outlineLevel="0" collapsed="false">
      <c r="A1" s="1" t="s">
        <v>77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7" t="s">
        <v>65</v>
      </c>
      <c r="B2" s="27"/>
      <c r="C2" s="28" t="str">
        <f aca="false">COUNTIF(A5:A18,"Done") &amp; " / 14 complete"</f>
        <v>0 / 14 complete</v>
      </c>
      <c r="E2" s="29" t="n">
        <f aca="false">IF(14&gt;0,COUNTIF(A5:A18,"Done")/14,0)</f>
        <v>0</v>
      </c>
    </row>
    <row r="3" customFormat="false" ht="6" hidden="false" customHeight="true" outlineLevel="0" collapsed="false"/>
    <row r="4" customFormat="false" ht="15" hidden="false" customHeight="false" outlineLevel="0" collapsed="false">
      <c r="A4" s="30" t="s">
        <v>66</v>
      </c>
      <c r="B4" s="30" t="s">
        <v>67</v>
      </c>
      <c r="C4" s="30" t="s">
        <v>5</v>
      </c>
      <c r="D4" s="30" t="s">
        <v>68</v>
      </c>
      <c r="E4" s="30" t="s">
        <v>7</v>
      </c>
      <c r="F4" s="30" t="s">
        <v>69</v>
      </c>
      <c r="G4" s="30" t="s">
        <v>70</v>
      </c>
      <c r="H4" s="30" t="s">
        <v>71</v>
      </c>
    </row>
    <row r="5" customFormat="false" ht="30" hidden="false" customHeight="true" outlineLevel="0" collapsed="false">
      <c r="A5" s="31"/>
      <c r="B5" s="5" t="s">
        <v>10</v>
      </c>
      <c r="C5" s="6" t="s">
        <v>12</v>
      </c>
      <c r="D5" s="4" t="s">
        <v>13</v>
      </c>
      <c r="E5" s="7" t="s">
        <v>14</v>
      </c>
      <c r="F5" s="4" t="s">
        <v>15</v>
      </c>
      <c r="G5" s="4"/>
      <c r="H5" s="32"/>
    </row>
    <row r="6" customFormat="false" ht="30" hidden="false" customHeight="true" outlineLevel="0" collapsed="false">
      <c r="A6" s="31"/>
      <c r="B6" s="10" t="s">
        <v>10</v>
      </c>
      <c r="C6" s="11" t="s">
        <v>16</v>
      </c>
      <c r="D6" s="9" t="s">
        <v>13</v>
      </c>
      <c r="E6" s="12" t="s">
        <v>17</v>
      </c>
      <c r="F6" s="9" t="s">
        <v>18</v>
      </c>
      <c r="G6" s="9"/>
      <c r="H6" s="33"/>
    </row>
    <row r="7" customFormat="false" ht="30" hidden="false" customHeight="true" outlineLevel="0" collapsed="false">
      <c r="A7" s="31"/>
      <c r="B7" s="5" t="s">
        <v>19</v>
      </c>
      <c r="C7" s="14" t="s">
        <v>20</v>
      </c>
      <c r="D7" s="4" t="s">
        <v>21</v>
      </c>
      <c r="E7" s="7" t="s">
        <v>22</v>
      </c>
      <c r="F7" s="4" t="s">
        <v>15</v>
      </c>
      <c r="G7" s="4"/>
      <c r="H7" s="32"/>
    </row>
    <row r="8" customFormat="false" ht="30" hidden="false" customHeight="true" outlineLevel="0" collapsed="false">
      <c r="A8" s="31"/>
      <c r="B8" s="10" t="s">
        <v>23</v>
      </c>
      <c r="C8" s="15" t="s">
        <v>24</v>
      </c>
      <c r="D8" s="9" t="s">
        <v>13</v>
      </c>
      <c r="E8" s="12" t="s">
        <v>25</v>
      </c>
      <c r="F8" s="9" t="s">
        <v>18</v>
      </c>
      <c r="G8" s="9"/>
      <c r="H8" s="33"/>
    </row>
    <row r="9" customFormat="false" ht="30" hidden="false" customHeight="true" outlineLevel="0" collapsed="false">
      <c r="A9" s="31"/>
      <c r="B9" s="5" t="s">
        <v>23</v>
      </c>
      <c r="C9" s="16" t="s">
        <v>27</v>
      </c>
      <c r="D9" s="4" t="s">
        <v>28</v>
      </c>
      <c r="E9" s="7" t="s">
        <v>29</v>
      </c>
      <c r="F9" s="4" t="s">
        <v>15</v>
      </c>
      <c r="G9" s="4"/>
      <c r="H9" s="32"/>
    </row>
    <row r="10" customFormat="false" ht="30" hidden="false" customHeight="true" outlineLevel="0" collapsed="false">
      <c r="A10" s="31"/>
      <c r="B10" s="10" t="s">
        <v>23</v>
      </c>
      <c r="C10" s="16" t="s">
        <v>27</v>
      </c>
      <c r="D10" s="9" t="s">
        <v>28</v>
      </c>
      <c r="E10" s="12" t="s">
        <v>30</v>
      </c>
      <c r="F10" s="9" t="s">
        <v>15</v>
      </c>
      <c r="G10" s="9"/>
      <c r="H10" s="33"/>
    </row>
    <row r="11" customFormat="false" ht="30" hidden="false" customHeight="true" outlineLevel="0" collapsed="false">
      <c r="A11" s="31"/>
      <c r="B11" s="5" t="s">
        <v>31</v>
      </c>
      <c r="C11" s="15" t="s">
        <v>24</v>
      </c>
      <c r="D11" s="4" t="s">
        <v>13</v>
      </c>
      <c r="E11" s="7" t="s">
        <v>32</v>
      </c>
      <c r="F11" s="4" t="s">
        <v>18</v>
      </c>
      <c r="G11" s="4"/>
      <c r="H11" s="32"/>
    </row>
    <row r="12" customFormat="false" ht="30" hidden="false" customHeight="true" outlineLevel="0" collapsed="false">
      <c r="A12" s="31"/>
      <c r="B12" s="10" t="s">
        <v>33</v>
      </c>
      <c r="C12" s="17" t="s">
        <v>34</v>
      </c>
      <c r="D12" s="9" t="s">
        <v>28</v>
      </c>
      <c r="E12" s="12" t="s">
        <v>35</v>
      </c>
      <c r="F12" s="9" t="s">
        <v>36</v>
      </c>
      <c r="G12" s="9"/>
      <c r="H12" s="33"/>
    </row>
    <row r="13" customFormat="false" ht="30" hidden="false" customHeight="true" outlineLevel="0" collapsed="false">
      <c r="A13" s="31"/>
      <c r="B13" s="5" t="s">
        <v>33</v>
      </c>
      <c r="C13" s="15" t="s">
        <v>24</v>
      </c>
      <c r="D13" s="4" t="s">
        <v>28</v>
      </c>
      <c r="E13" s="7" t="s">
        <v>37</v>
      </c>
      <c r="F13" s="4" t="s">
        <v>15</v>
      </c>
      <c r="G13" s="4"/>
      <c r="H13" s="32"/>
    </row>
    <row r="14" customFormat="false" ht="30" hidden="false" customHeight="true" outlineLevel="0" collapsed="false">
      <c r="A14" s="31"/>
      <c r="B14" s="10" t="s">
        <v>33</v>
      </c>
      <c r="C14" s="18" t="s">
        <v>38</v>
      </c>
      <c r="D14" s="9" t="s">
        <v>28</v>
      </c>
      <c r="E14" s="12" t="s">
        <v>39</v>
      </c>
      <c r="F14" s="9" t="s">
        <v>36</v>
      </c>
      <c r="G14" s="9"/>
      <c r="H14" s="33"/>
    </row>
    <row r="15" customFormat="false" ht="30" hidden="false" customHeight="true" outlineLevel="0" collapsed="false">
      <c r="A15" s="31"/>
      <c r="B15" s="5" t="s">
        <v>33</v>
      </c>
      <c r="C15" s="14" t="s">
        <v>20</v>
      </c>
      <c r="D15" s="4" t="s">
        <v>28</v>
      </c>
      <c r="E15" s="7" t="s">
        <v>37</v>
      </c>
      <c r="F15" s="4" t="s">
        <v>15</v>
      </c>
      <c r="G15" s="4"/>
      <c r="H15" s="32"/>
    </row>
    <row r="16" customFormat="false" ht="30" hidden="false" customHeight="true" outlineLevel="0" collapsed="false">
      <c r="A16" s="31"/>
      <c r="B16" s="10" t="s">
        <v>33</v>
      </c>
      <c r="C16" s="11" t="s">
        <v>16</v>
      </c>
      <c r="D16" s="9" t="s">
        <v>28</v>
      </c>
      <c r="E16" s="12" t="s">
        <v>37</v>
      </c>
      <c r="F16" s="9" t="s">
        <v>15</v>
      </c>
      <c r="G16" s="9"/>
      <c r="H16" s="33"/>
    </row>
    <row r="17" customFormat="false" ht="30" hidden="false" customHeight="true" outlineLevel="0" collapsed="false">
      <c r="A17" s="31"/>
      <c r="B17" s="5" t="s">
        <v>40</v>
      </c>
      <c r="C17" s="19" t="s">
        <v>41</v>
      </c>
      <c r="D17" s="4" t="s">
        <v>21</v>
      </c>
      <c r="E17" s="7" t="s">
        <v>42</v>
      </c>
      <c r="F17" s="4" t="s">
        <v>43</v>
      </c>
      <c r="G17" s="4"/>
      <c r="H17" s="32"/>
    </row>
    <row r="18" customFormat="false" ht="30" hidden="false" customHeight="true" outlineLevel="0" collapsed="false">
      <c r="A18" s="31"/>
      <c r="B18" s="10" t="s">
        <v>40</v>
      </c>
      <c r="C18" s="14" t="s">
        <v>20</v>
      </c>
      <c r="D18" s="9" t="s">
        <v>13</v>
      </c>
      <c r="E18" s="12" t="s">
        <v>44</v>
      </c>
      <c r="F18" s="9" t="s">
        <v>15</v>
      </c>
      <c r="G18" s="9"/>
      <c r="H18" s="33"/>
    </row>
  </sheetData>
  <mergeCells count="2">
    <mergeCell ref="A1:H1"/>
    <mergeCell ref="A2:B2"/>
  </mergeCells>
  <conditionalFormatting sqref="A5:H18">
    <cfRule type="cellIs" priority="2" operator="equal" aboveAverage="0" equalAverage="0" bottom="0" percent="0" rank="0" text="" dxfId="12">
      <formula>"Done"</formula>
    </cfRule>
  </conditionalFormatting>
  <conditionalFormatting sqref="A5:A18">
    <cfRule type="cellIs" priority="3" operator="equal" aboveAverage="0" equalAverage="0" bottom="0" percent="0" rank="0" text="" dxfId="13">
      <formula>"In Progress"</formula>
    </cfRule>
  </conditionalFormatting>
  <dataValidations count="1">
    <dataValidation allowBlank="true" error="Please select Done, In Progress, or N/A" errorStyle="stop" errorTitle="Invalid Status" operator="between" prompt="Select status" promptTitle="Task Status" showDropDown="false" showErrorMessage="false" showInputMessage="false" sqref="A5:A18" type="list">
      <formula1>"Done,In Progress,N/A"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50"/>
    <col collapsed="false" customWidth="true" hidden="false" outlineLevel="0" max="8" min="6" style="0" width="16"/>
  </cols>
  <sheetData>
    <row r="1" customFormat="false" ht="36" hidden="false" customHeight="true" outlineLevel="0" collapsed="false">
      <c r="A1" s="1" t="s">
        <v>78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7" t="s">
        <v>65</v>
      </c>
      <c r="B2" s="27"/>
      <c r="C2" s="28" t="str">
        <f aca="false">COUNTIF(A5:A15,"Done") &amp; " / 11 complete"</f>
        <v>0 / 11 complete</v>
      </c>
      <c r="E2" s="29" t="n">
        <f aca="false">IF(11&gt;0,COUNTIF(A5:A15,"Done")/11,0)</f>
        <v>0</v>
      </c>
    </row>
    <row r="3" customFormat="false" ht="6" hidden="false" customHeight="true" outlineLevel="0" collapsed="false"/>
    <row r="4" customFormat="false" ht="15" hidden="false" customHeight="false" outlineLevel="0" collapsed="false">
      <c r="A4" s="30" t="s">
        <v>66</v>
      </c>
      <c r="B4" s="30" t="s">
        <v>67</v>
      </c>
      <c r="C4" s="30" t="s">
        <v>5</v>
      </c>
      <c r="D4" s="30" t="s">
        <v>68</v>
      </c>
      <c r="E4" s="30" t="s">
        <v>7</v>
      </c>
      <c r="F4" s="30" t="s">
        <v>69</v>
      </c>
      <c r="G4" s="30" t="s">
        <v>70</v>
      </c>
      <c r="H4" s="30" t="s">
        <v>71</v>
      </c>
    </row>
    <row r="5" customFormat="false" ht="30" hidden="false" customHeight="true" outlineLevel="0" collapsed="false">
      <c r="A5" s="31"/>
      <c r="B5" s="5" t="s">
        <v>10</v>
      </c>
      <c r="C5" s="6" t="s">
        <v>12</v>
      </c>
      <c r="D5" s="4" t="s">
        <v>13</v>
      </c>
      <c r="E5" s="7" t="s">
        <v>14</v>
      </c>
      <c r="F5" s="4" t="s">
        <v>15</v>
      </c>
      <c r="G5" s="4"/>
      <c r="H5" s="32"/>
    </row>
    <row r="6" customFormat="false" ht="30" hidden="false" customHeight="true" outlineLevel="0" collapsed="false">
      <c r="A6" s="31"/>
      <c r="B6" s="10" t="s">
        <v>10</v>
      </c>
      <c r="C6" s="11" t="s">
        <v>16</v>
      </c>
      <c r="D6" s="9" t="s">
        <v>13</v>
      </c>
      <c r="E6" s="12" t="s">
        <v>17</v>
      </c>
      <c r="F6" s="9" t="s">
        <v>18</v>
      </c>
      <c r="G6" s="9"/>
      <c r="H6" s="33"/>
    </row>
    <row r="7" customFormat="false" ht="30" hidden="false" customHeight="true" outlineLevel="0" collapsed="false">
      <c r="A7" s="31"/>
      <c r="B7" s="5" t="s">
        <v>19</v>
      </c>
      <c r="C7" s="14" t="s">
        <v>20</v>
      </c>
      <c r="D7" s="4" t="s">
        <v>21</v>
      </c>
      <c r="E7" s="7" t="s">
        <v>22</v>
      </c>
      <c r="F7" s="4" t="s">
        <v>15</v>
      </c>
      <c r="G7" s="4"/>
      <c r="H7" s="32"/>
    </row>
    <row r="8" customFormat="false" ht="30" hidden="false" customHeight="true" outlineLevel="0" collapsed="false">
      <c r="A8" s="31"/>
      <c r="B8" s="10" t="s">
        <v>23</v>
      </c>
      <c r="C8" s="15" t="s">
        <v>24</v>
      </c>
      <c r="D8" s="9" t="s">
        <v>13</v>
      </c>
      <c r="E8" s="12" t="s">
        <v>25</v>
      </c>
      <c r="F8" s="9" t="s">
        <v>18</v>
      </c>
      <c r="G8" s="9"/>
      <c r="H8" s="33"/>
    </row>
    <row r="9" customFormat="false" ht="30" hidden="false" customHeight="true" outlineLevel="0" collapsed="false">
      <c r="A9" s="31"/>
      <c r="B9" s="5" t="s">
        <v>31</v>
      </c>
      <c r="C9" s="15" t="s">
        <v>24</v>
      </c>
      <c r="D9" s="4" t="s">
        <v>13</v>
      </c>
      <c r="E9" s="7" t="s">
        <v>32</v>
      </c>
      <c r="F9" s="4" t="s">
        <v>18</v>
      </c>
      <c r="G9" s="4"/>
      <c r="H9" s="32"/>
    </row>
    <row r="10" customFormat="false" ht="30" hidden="false" customHeight="true" outlineLevel="0" collapsed="false">
      <c r="A10" s="31"/>
      <c r="B10" s="10" t="s">
        <v>33</v>
      </c>
      <c r="C10" s="17" t="s">
        <v>34</v>
      </c>
      <c r="D10" s="9" t="s">
        <v>28</v>
      </c>
      <c r="E10" s="12" t="s">
        <v>35</v>
      </c>
      <c r="F10" s="9" t="s">
        <v>36</v>
      </c>
      <c r="G10" s="9"/>
      <c r="H10" s="33"/>
    </row>
    <row r="11" customFormat="false" ht="30" hidden="false" customHeight="true" outlineLevel="0" collapsed="false">
      <c r="A11" s="31"/>
      <c r="B11" s="5" t="s">
        <v>33</v>
      </c>
      <c r="C11" s="15" t="s">
        <v>24</v>
      </c>
      <c r="D11" s="4" t="s">
        <v>28</v>
      </c>
      <c r="E11" s="7" t="s">
        <v>37</v>
      </c>
      <c r="F11" s="4" t="s">
        <v>15</v>
      </c>
      <c r="G11" s="4"/>
      <c r="H11" s="32"/>
    </row>
    <row r="12" customFormat="false" ht="30" hidden="false" customHeight="true" outlineLevel="0" collapsed="false">
      <c r="A12" s="31"/>
      <c r="B12" s="10" t="s">
        <v>33</v>
      </c>
      <c r="C12" s="18" t="s">
        <v>38</v>
      </c>
      <c r="D12" s="9" t="s">
        <v>28</v>
      </c>
      <c r="E12" s="12" t="s">
        <v>39</v>
      </c>
      <c r="F12" s="9" t="s">
        <v>36</v>
      </c>
      <c r="G12" s="9"/>
      <c r="H12" s="33"/>
    </row>
    <row r="13" customFormat="false" ht="30" hidden="false" customHeight="true" outlineLevel="0" collapsed="false">
      <c r="A13" s="31"/>
      <c r="B13" s="5" t="s">
        <v>33</v>
      </c>
      <c r="C13" s="14" t="s">
        <v>20</v>
      </c>
      <c r="D13" s="4" t="s">
        <v>28</v>
      </c>
      <c r="E13" s="7" t="s">
        <v>37</v>
      </c>
      <c r="F13" s="4" t="s">
        <v>15</v>
      </c>
      <c r="G13" s="4"/>
      <c r="H13" s="32"/>
    </row>
    <row r="14" customFormat="false" ht="30" hidden="false" customHeight="true" outlineLevel="0" collapsed="false">
      <c r="A14" s="31"/>
      <c r="B14" s="10" t="s">
        <v>33</v>
      </c>
      <c r="C14" s="11" t="s">
        <v>16</v>
      </c>
      <c r="D14" s="9" t="s">
        <v>28</v>
      </c>
      <c r="E14" s="12" t="s">
        <v>37</v>
      </c>
      <c r="F14" s="9" t="s">
        <v>15</v>
      </c>
      <c r="G14" s="9"/>
      <c r="H14" s="33"/>
    </row>
    <row r="15" customFormat="false" ht="30" hidden="false" customHeight="true" outlineLevel="0" collapsed="false">
      <c r="A15" s="31"/>
      <c r="B15" s="5" t="s">
        <v>40</v>
      </c>
      <c r="C15" s="14" t="s">
        <v>20</v>
      </c>
      <c r="D15" s="4" t="s">
        <v>13</v>
      </c>
      <c r="E15" s="7" t="s">
        <v>44</v>
      </c>
      <c r="F15" s="4" t="s">
        <v>15</v>
      </c>
      <c r="G15" s="4"/>
      <c r="H15" s="32"/>
    </row>
  </sheetData>
  <mergeCells count="2">
    <mergeCell ref="A1:H1"/>
    <mergeCell ref="A2:B2"/>
  </mergeCells>
  <conditionalFormatting sqref="A5:H15">
    <cfRule type="cellIs" priority="2" operator="equal" aboveAverage="0" equalAverage="0" bottom="0" percent="0" rank="0" text="" dxfId="12">
      <formula>"Done"</formula>
    </cfRule>
  </conditionalFormatting>
  <conditionalFormatting sqref="A5:A15">
    <cfRule type="cellIs" priority="3" operator="equal" aboveAverage="0" equalAverage="0" bottom="0" percent="0" rank="0" text="" dxfId="13">
      <formula>"In Progress"</formula>
    </cfRule>
  </conditionalFormatting>
  <dataValidations count="1">
    <dataValidation allowBlank="true" error="Please select Done, In Progress, or N/A" errorStyle="stop" errorTitle="Invalid Status" operator="between" prompt="Select status" promptTitle="Task Status" showDropDown="false" showErrorMessage="false" showInputMessage="false" sqref="A5:A15" type="list">
      <formula1>"Done,In Progress,N/A"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50"/>
    <col collapsed="false" customWidth="true" hidden="false" outlineLevel="0" max="8" min="6" style="0" width="16"/>
  </cols>
  <sheetData>
    <row r="1" customFormat="false" ht="36" hidden="false" customHeight="true" outlineLevel="0" collapsed="false">
      <c r="A1" s="1" t="s">
        <v>79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7" t="s">
        <v>65</v>
      </c>
      <c r="B2" s="27"/>
      <c r="C2" s="28" t="str">
        <f aca="false">COUNTIF(A5:A15,"Done") &amp; " / 11 complete"</f>
        <v>0 / 11 complete</v>
      </c>
      <c r="E2" s="29" t="n">
        <f aca="false">IF(11&gt;0,COUNTIF(A5:A15,"Done")/11,0)</f>
        <v>0</v>
      </c>
    </row>
    <row r="3" customFormat="false" ht="6" hidden="false" customHeight="true" outlineLevel="0" collapsed="false"/>
    <row r="4" customFormat="false" ht="15" hidden="false" customHeight="false" outlineLevel="0" collapsed="false">
      <c r="A4" s="30" t="s">
        <v>66</v>
      </c>
      <c r="B4" s="30" t="s">
        <v>67</v>
      </c>
      <c r="C4" s="30" t="s">
        <v>5</v>
      </c>
      <c r="D4" s="30" t="s">
        <v>68</v>
      </c>
      <c r="E4" s="30" t="s">
        <v>7</v>
      </c>
      <c r="F4" s="30" t="s">
        <v>69</v>
      </c>
      <c r="G4" s="30" t="s">
        <v>70</v>
      </c>
      <c r="H4" s="30" t="s">
        <v>71</v>
      </c>
    </row>
    <row r="5" customFormat="false" ht="30" hidden="false" customHeight="true" outlineLevel="0" collapsed="false">
      <c r="A5" s="31"/>
      <c r="B5" s="5" t="s">
        <v>10</v>
      </c>
      <c r="C5" s="6" t="s">
        <v>12</v>
      </c>
      <c r="D5" s="4" t="s">
        <v>13</v>
      </c>
      <c r="E5" s="7" t="s">
        <v>14</v>
      </c>
      <c r="F5" s="4" t="s">
        <v>15</v>
      </c>
      <c r="G5" s="4"/>
      <c r="H5" s="32"/>
    </row>
    <row r="6" customFormat="false" ht="30" hidden="false" customHeight="true" outlineLevel="0" collapsed="false">
      <c r="A6" s="31"/>
      <c r="B6" s="10" t="s">
        <v>10</v>
      </c>
      <c r="C6" s="11" t="s">
        <v>16</v>
      </c>
      <c r="D6" s="9" t="s">
        <v>13</v>
      </c>
      <c r="E6" s="12" t="s">
        <v>17</v>
      </c>
      <c r="F6" s="9" t="s">
        <v>18</v>
      </c>
      <c r="G6" s="9"/>
      <c r="H6" s="33"/>
    </row>
    <row r="7" customFormat="false" ht="30" hidden="false" customHeight="true" outlineLevel="0" collapsed="false">
      <c r="A7" s="31"/>
      <c r="B7" s="5" t="s">
        <v>19</v>
      </c>
      <c r="C7" s="14" t="s">
        <v>20</v>
      </c>
      <c r="D7" s="4" t="s">
        <v>21</v>
      </c>
      <c r="E7" s="7" t="s">
        <v>22</v>
      </c>
      <c r="F7" s="4" t="s">
        <v>15</v>
      </c>
      <c r="G7" s="4"/>
      <c r="H7" s="32"/>
    </row>
    <row r="8" customFormat="false" ht="30" hidden="false" customHeight="true" outlineLevel="0" collapsed="false">
      <c r="A8" s="31"/>
      <c r="B8" s="10" t="s">
        <v>23</v>
      </c>
      <c r="C8" s="15" t="s">
        <v>24</v>
      </c>
      <c r="D8" s="9" t="s">
        <v>13</v>
      </c>
      <c r="E8" s="12" t="s">
        <v>25</v>
      </c>
      <c r="F8" s="9" t="s">
        <v>18</v>
      </c>
      <c r="G8" s="9"/>
      <c r="H8" s="33"/>
    </row>
    <row r="9" customFormat="false" ht="30" hidden="false" customHeight="true" outlineLevel="0" collapsed="false">
      <c r="A9" s="31"/>
      <c r="B9" s="5" t="s">
        <v>31</v>
      </c>
      <c r="C9" s="15" t="s">
        <v>24</v>
      </c>
      <c r="D9" s="4" t="s">
        <v>13</v>
      </c>
      <c r="E9" s="7" t="s">
        <v>32</v>
      </c>
      <c r="F9" s="4" t="s">
        <v>18</v>
      </c>
      <c r="G9" s="4"/>
      <c r="H9" s="32"/>
    </row>
    <row r="10" customFormat="false" ht="30" hidden="false" customHeight="true" outlineLevel="0" collapsed="false">
      <c r="A10" s="31"/>
      <c r="B10" s="10" t="s">
        <v>33</v>
      </c>
      <c r="C10" s="17" t="s">
        <v>34</v>
      </c>
      <c r="D10" s="9" t="s">
        <v>28</v>
      </c>
      <c r="E10" s="12" t="s">
        <v>35</v>
      </c>
      <c r="F10" s="9" t="s">
        <v>36</v>
      </c>
      <c r="G10" s="9"/>
      <c r="H10" s="33"/>
    </row>
    <row r="11" customFormat="false" ht="30" hidden="false" customHeight="true" outlineLevel="0" collapsed="false">
      <c r="A11" s="31"/>
      <c r="B11" s="5" t="s">
        <v>33</v>
      </c>
      <c r="C11" s="15" t="s">
        <v>24</v>
      </c>
      <c r="D11" s="4" t="s">
        <v>28</v>
      </c>
      <c r="E11" s="7" t="s">
        <v>37</v>
      </c>
      <c r="F11" s="4" t="s">
        <v>15</v>
      </c>
      <c r="G11" s="4"/>
      <c r="H11" s="32"/>
    </row>
    <row r="12" customFormat="false" ht="30" hidden="false" customHeight="true" outlineLevel="0" collapsed="false">
      <c r="A12" s="31"/>
      <c r="B12" s="10" t="s">
        <v>33</v>
      </c>
      <c r="C12" s="18" t="s">
        <v>38</v>
      </c>
      <c r="D12" s="9" t="s">
        <v>28</v>
      </c>
      <c r="E12" s="12" t="s">
        <v>39</v>
      </c>
      <c r="F12" s="9" t="s">
        <v>36</v>
      </c>
      <c r="G12" s="9"/>
      <c r="H12" s="33"/>
    </row>
    <row r="13" customFormat="false" ht="30" hidden="false" customHeight="true" outlineLevel="0" collapsed="false">
      <c r="A13" s="31"/>
      <c r="B13" s="5" t="s">
        <v>33</v>
      </c>
      <c r="C13" s="14" t="s">
        <v>20</v>
      </c>
      <c r="D13" s="4" t="s">
        <v>28</v>
      </c>
      <c r="E13" s="7" t="s">
        <v>37</v>
      </c>
      <c r="F13" s="4" t="s">
        <v>15</v>
      </c>
      <c r="G13" s="4"/>
      <c r="H13" s="32"/>
    </row>
    <row r="14" customFormat="false" ht="30" hidden="false" customHeight="true" outlineLevel="0" collapsed="false">
      <c r="A14" s="31"/>
      <c r="B14" s="10" t="s">
        <v>33</v>
      </c>
      <c r="C14" s="11" t="s">
        <v>16</v>
      </c>
      <c r="D14" s="9" t="s">
        <v>28</v>
      </c>
      <c r="E14" s="12" t="s">
        <v>37</v>
      </c>
      <c r="F14" s="9" t="s">
        <v>15</v>
      </c>
      <c r="G14" s="9"/>
      <c r="H14" s="33"/>
    </row>
    <row r="15" customFormat="false" ht="30" hidden="false" customHeight="true" outlineLevel="0" collapsed="false">
      <c r="A15" s="31"/>
      <c r="B15" s="5" t="s">
        <v>40</v>
      </c>
      <c r="C15" s="14" t="s">
        <v>20</v>
      </c>
      <c r="D15" s="4" t="s">
        <v>13</v>
      </c>
      <c r="E15" s="7" t="s">
        <v>44</v>
      </c>
      <c r="F15" s="4" t="s">
        <v>15</v>
      </c>
      <c r="G15" s="4"/>
      <c r="H15" s="32"/>
    </row>
  </sheetData>
  <mergeCells count="2">
    <mergeCell ref="A1:H1"/>
    <mergeCell ref="A2:B2"/>
  </mergeCells>
  <conditionalFormatting sqref="A5:H15">
    <cfRule type="cellIs" priority="2" operator="equal" aboveAverage="0" equalAverage="0" bottom="0" percent="0" rank="0" text="" dxfId="12">
      <formula>"Done"</formula>
    </cfRule>
  </conditionalFormatting>
  <conditionalFormatting sqref="A5:A15">
    <cfRule type="cellIs" priority="3" operator="equal" aboveAverage="0" equalAverage="0" bottom="0" percent="0" rank="0" text="" dxfId="13">
      <formula>"In Progress"</formula>
    </cfRule>
  </conditionalFormatting>
  <dataValidations count="1">
    <dataValidation allowBlank="true" error="Please select Done, In Progress, or N/A" errorStyle="stop" errorTitle="Invalid Status" operator="between" prompt="Select status" promptTitle="Task Status" showDropDown="false" showErrorMessage="false" showInputMessage="false" sqref="A5:A15" type="list">
      <formula1>"Done,In Progress,N/A"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50"/>
    <col collapsed="false" customWidth="true" hidden="false" outlineLevel="0" max="8" min="6" style="0" width="16"/>
  </cols>
  <sheetData>
    <row r="1" customFormat="false" ht="36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7" t="s">
        <v>65</v>
      </c>
      <c r="B2" s="27"/>
      <c r="C2" s="28" t="str">
        <f aca="false">COUNTIF(A5:A18,"Done") &amp; " / 14 complete"</f>
        <v>0 / 14 complete</v>
      </c>
      <c r="E2" s="29" t="n">
        <f aca="false">IF(14&gt;0,COUNTIF(A5:A18,"Done")/14,0)</f>
        <v>0</v>
      </c>
    </row>
    <row r="3" customFormat="false" ht="6" hidden="false" customHeight="true" outlineLevel="0" collapsed="false"/>
    <row r="4" customFormat="false" ht="15" hidden="false" customHeight="false" outlineLevel="0" collapsed="false">
      <c r="A4" s="30" t="s">
        <v>66</v>
      </c>
      <c r="B4" s="30" t="s">
        <v>67</v>
      </c>
      <c r="C4" s="30" t="s">
        <v>5</v>
      </c>
      <c r="D4" s="30" t="s">
        <v>68</v>
      </c>
      <c r="E4" s="30" t="s">
        <v>7</v>
      </c>
      <c r="F4" s="30" t="s">
        <v>69</v>
      </c>
      <c r="G4" s="30" t="s">
        <v>70</v>
      </c>
      <c r="H4" s="30" t="s">
        <v>71</v>
      </c>
    </row>
    <row r="5" customFormat="false" ht="30" hidden="false" customHeight="true" outlineLevel="0" collapsed="false">
      <c r="A5" s="31"/>
      <c r="B5" s="5" t="s">
        <v>10</v>
      </c>
      <c r="C5" s="6" t="s">
        <v>12</v>
      </c>
      <c r="D5" s="4" t="s">
        <v>13</v>
      </c>
      <c r="E5" s="7" t="s">
        <v>14</v>
      </c>
      <c r="F5" s="4" t="s">
        <v>15</v>
      </c>
      <c r="G5" s="4"/>
      <c r="H5" s="32"/>
    </row>
    <row r="6" customFormat="false" ht="30" hidden="false" customHeight="true" outlineLevel="0" collapsed="false">
      <c r="A6" s="31"/>
      <c r="B6" s="10" t="s">
        <v>10</v>
      </c>
      <c r="C6" s="11" t="s">
        <v>16</v>
      </c>
      <c r="D6" s="9" t="s">
        <v>13</v>
      </c>
      <c r="E6" s="12" t="s">
        <v>17</v>
      </c>
      <c r="F6" s="9" t="s">
        <v>18</v>
      </c>
      <c r="G6" s="9"/>
      <c r="H6" s="33"/>
    </row>
    <row r="7" customFormat="false" ht="30" hidden="false" customHeight="true" outlineLevel="0" collapsed="false">
      <c r="A7" s="31"/>
      <c r="B7" s="5" t="s">
        <v>19</v>
      </c>
      <c r="C7" s="14" t="s">
        <v>20</v>
      </c>
      <c r="D7" s="4" t="s">
        <v>21</v>
      </c>
      <c r="E7" s="7" t="s">
        <v>22</v>
      </c>
      <c r="F7" s="4" t="s">
        <v>15</v>
      </c>
      <c r="G7" s="4"/>
      <c r="H7" s="32"/>
    </row>
    <row r="8" customFormat="false" ht="30" hidden="false" customHeight="true" outlineLevel="0" collapsed="false">
      <c r="A8" s="31"/>
      <c r="B8" s="10" t="s">
        <v>23</v>
      </c>
      <c r="C8" s="15" t="s">
        <v>24</v>
      </c>
      <c r="D8" s="9" t="s">
        <v>13</v>
      </c>
      <c r="E8" s="12" t="s">
        <v>25</v>
      </c>
      <c r="F8" s="9" t="s">
        <v>18</v>
      </c>
      <c r="G8" s="9"/>
      <c r="H8" s="33"/>
    </row>
    <row r="9" customFormat="false" ht="30" hidden="false" customHeight="true" outlineLevel="0" collapsed="false">
      <c r="A9" s="31"/>
      <c r="B9" s="5" t="s">
        <v>23</v>
      </c>
      <c r="C9" s="16" t="s">
        <v>27</v>
      </c>
      <c r="D9" s="4" t="s">
        <v>28</v>
      </c>
      <c r="E9" s="7" t="s">
        <v>29</v>
      </c>
      <c r="F9" s="4" t="s">
        <v>15</v>
      </c>
      <c r="G9" s="4"/>
      <c r="H9" s="32"/>
    </row>
    <row r="10" customFormat="false" ht="30" hidden="false" customHeight="true" outlineLevel="0" collapsed="false">
      <c r="A10" s="31"/>
      <c r="B10" s="10" t="s">
        <v>23</v>
      </c>
      <c r="C10" s="16" t="s">
        <v>27</v>
      </c>
      <c r="D10" s="9" t="s">
        <v>28</v>
      </c>
      <c r="E10" s="12" t="s">
        <v>30</v>
      </c>
      <c r="F10" s="9" t="s">
        <v>15</v>
      </c>
      <c r="G10" s="9"/>
      <c r="H10" s="33"/>
    </row>
    <row r="11" customFormat="false" ht="30" hidden="false" customHeight="true" outlineLevel="0" collapsed="false">
      <c r="A11" s="31"/>
      <c r="B11" s="5" t="s">
        <v>31</v>
      </c>
      <c r="C11" s="15" t="s">
        <v>24</v>
      </c>
      <c r="D11" s="4" t="s">
        <v>13</v>
      </c>
      <c r="E11" s="7" t="s">
        <v>32</v>
      </c>
      <c r="F11" s="4" t="s">
        <v>18</v>
      </c>
      <c r="G11" s="4"/>
      <c r="H11" s="32"/>
    </row>
    <row r="12" customFormat="false" ht="30" hidden="false" customHeight="true" outlineLevel="0" collapsed="false">
      <c r="A12" s="31"/>
      <c r="B12" s="10" t="s">
        <v>33</v>
      </c>
      <c r="C12" s="17" t="s">
        <v>34</v>
      </c>
      <c r="D12" s="9" t="s">
        <v>28</v>
      </c>
      <c r="E12" s="12" t="s">
        <v>35</v>
      </c>
      <c r="F12" s="9" t="s">
        <v>36</v>
      </c>
      <c r="G12" s="9"/>
      <c r="H12" s="33"/>
    </row>
    <row r="13" customFormat="false" ht="30" hidden="false" customHeight="true" outlineLevel="0" collapsed="false">
      <c r="A13" s="31"/>
      <c r="B13" s="5" t="s">
        <v>33</v>
      </c>
      <c r="C13" s="15" t="s">
        <v>24</v>
      </c>
      <c r="D13" s="4" t="s">
        <v>28</v>
      </c>
      <c r="E13" s="7" t="s">
        <v>37</v>
      </c>
      <c r="F13" s="4" t="s">
        <v>15</v>
      </c>
      <c r="G13" s="4"/>
      <c r="H13" s="32"/>
    </row>
    <row r="14" customFormat="false" ht="30" hidden="false" customHeight="true" outlineLevel="0" collapsed="false">
      <c r="A14" s="31"/>
      <c r="B14" s="10" t="s">
        <v>33</v>
      </c>
      <c r="C14" s="18" t="s">
        <v>38</v>
      </c>
      <c r="D14" s="9" t="s">
        <v>28</v>
      </c>
      <c r="E14" s="12" t="s">
        <v>39</v>
      </c>
      <c r="F14" s="9" t="s">
        <v>36</v>
      </c>
      <c r="G14" s="9"/>
      <c r="H14" s="33"/>
    </row>
    <row r="15" customFormat="false" ht="30" hidden="false" customHeight="true" outlineLevel="0" collapsed="false">
      <c r="A15" s="31"/>
      <c r="B15" s="5" t="s">
        <v>33</v>
      </c>
      <c r="C15" s="14" t="s">
        <v>20</v>
      </c>
      <c r="D15" s="4" t="s">
        <v>28</v>
      </c>
      <c r="E15" s="7" t="s">
        <v>37</v>
      </c>
      <c r="F15" s="4" t="s">
        <v>15</v>
      </c>
      <c r="G15" s="4"/>
      <c r="H15" s="32"/>
    </row>
    <row r="16" customFormat="false" ht="30" hidden="false" customHeight="true" outlineLevel="0" collapsed="false">
      <c r="A16" s="31"/>
      <c r="B16" s="10" t="s">
        <v>33</v>
      </c>
      <c r="C16" s="11" t="s">
        <v>16</v>
      </c>
      <c r="D16" s="9" t="s">
        <v>28</v>
      </c>
      <c r="E16" s="12" t="s">
        <v>37</v>
      </c>
      <c r="F16" s="9" t="s">
        <v>15</v>
      </c>
      <c r="G16" s="9"/>
      <c r="H16" s="33"/>
    </row>
    <row r="17" customFormat="false" ht="30" hidden="false" customHeight="true" outlineLevel="0" collapsed="false">
      <c r="A17" s="31"/>
      <c r="B17" s="5" t="s">
        <v>40</v>
      </c>
      <c r="C17" s="19" t="s">
        <v>41</v>
      </c>
      <c r="D17" s="4" t="s">
        <v>21</v>
      </c>
      <c r="E17" s="7" t="s">
        <v>42</v>
      </c>
      <c r="F17" s="4" t="s">
        <v>43</v>
      </c>
      <c r="G17" s="4"/>
      <c r="H17" s="32"/>
    </row>
    <row r="18" customFormat="false" ht="30" hidden="false" customHeight="true" outlineLevel="0" collapsed="false">
      <c r="A18" s="31"/>
      <c r="B18" s="10" t="s">
        <v>40</v>
      </c>
      <c r="C18" s="14" t="s">
        <v>20</v>
      </c>
      <c r="D18" s="9" t="s">
        <v>13</v>
      </c>
      <c r="E18" s="12" t="s">
        <v>44</v>
      </c>
      <c r="F18" s="9" t="s">
        <v>15</v>
      </c>
      <c r="G18" s="9"/>
      <c r="H18" s="33"/>
    </row>
  </sheetData>
  <mergeCells count="2">
    <mergeCell ref="A1:H1"/>
    <mergeCell ref="A2:B2"/>
  </mergeCells>
  <conditionalFormatting sqref="A5:H18">
    <cfRule type="cellIs" priority="2" operator="equal" aboveAverage="0" equalAverage="0" bottom="0" percent="0" rank="0" text="" dxfId="12">
      <formula>"Done"</formula>
    </cfRule>
  </conditionalFormatting>
  <conditionalFormatting sqref="A5:A18">
    <cfRule type="cellIs" priority="3" operator="equal" aboveAverage="0" equalAverage="0" bottom="0" percent="0" rank="0" text="" dxfId="13">
      <formula>"In Progress"</formula>
    </cfRule>
  </conditionalFormatting>
  <dataValidations count="1">
    <dataValidation allowBlank="true" error="Please select Done, In Progress, or N/A" errorStyle="stop" errorTitle="Invalid Status" operator="between" prompt="Select status" promptTitle="Task Status" showDropDown="false" showErrorMessage="false" showInputMessage="false" sqref="A5:A18" type="list">
      <formula1>"Done,In Progress,N/A"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50"/>
    <col collapsed="false" customWidth="true" hidden="false" outlineLevel="0" max="8" min="6" style="0" width="16"/>
  </cols>
  <sheetData>
    <row r="1" customFormat="false" ht="36" hidden="false" customHeight="true" outlineLevel="0" collapsed="false">
      <c r="A1" s="1" t="s">
        <v>81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7" t="s">
        <v>65</v>
      </c>
      <c r="B2" s="27"/>
      <c r="C2" s="28" t="str">
        <f aca="false">COUNTIF(A5:A15,"Done") &amp; " / 11 complete"</f>
        <v>0 / 11 complete</v>
      </c>
      <c r="E2" s="29" t="n">
        <f aca="false">IF(11&gt;0,COUNTIF(A5:A15,"Done")/11,0)</f>
        <v>0</v>
      </c>
    </row>
    <row r="3" customFormat="false" ht="6" hidden="false" customHeight="true" outlineLevel="0" collapsed="false"/>
    <row r="4" customFormat="false" ht="15" hidden="false" customHeight="false" outlineLevel="0" collapsed="false">
      <c r="A4" s="30" t="s">
        <v>66</v>
      </c>
      <c r="B4" s="30" t="s">
        <v>67</v>
      </c>
      <c r="C4" s="30" t="s">
        <v>5</v>
      </c>
      <c r="D4" s="30" t="s">
        <v>68</v>
      </c>
      <c r="E4" s="30" t="s">
        <v>7</v>
      </c>
      <c r="F4" s="30" t="s">
        <v>69</v>
      </c>
      <c r="G4" s="30" t="s">
        <v>70</v>
      </c>
      <c r="H4" s="30" t="s">
        <v>71</v>
      </c>
    </row>
    <row r="5" customFormat="false" ht="30" hidden="false" customHeight="true" outlineLevel="0" collapsed="false">
      <c r="A5" s="31"/>
      <c r="B5" s="5" t="s">
        <v>10</v>
      </c>
      <c r="C5" s="6" t="s">
        <v>12</v>
      </c>
      <c r="D5" s="4" t="s">
        <v>13</v>
      </c>
      <c r="E5" s="7" t="s">
        <v>14</v>
      </c>
      <c r="F5" s="4" t="s">
        <v>15</v>
      </c>
      <c r="G5" s="4"/>
      <c r="H5" s="32"/>
    </row>
    <row r="6" customFormat="false" ht="30" hidden="false" customHeight="true" outlineLevel="0" collapsed="false">
      <c r="A6" s="31"/>
      <c r="B6" s="10" t="s">
        <v>10</v>
      </c>
      <c r="C6" s="11" t="s">
        <v>16</v>
      </c>
      <c r="D6" s="9" t="s">
        <v>13</v>
      </c>
      <c r="E6" s="12" t="s">
        <v>17</v>
      </c>
      <c r="F6" s="9" t="s">
        <v>18</v>
      </c>
      <c r="G6" s="9"/>
      <c r="H6" s="33"/>
    </row>
    <row r="7" customFormat="false" ht="30" hidden="false" customHeight="true" outlineLevel="0" collapsed="false">
      <c r="A7" s="31"/>
      <c r="B7" s="5" t="s">
        <v>19</v>
      </c>
      <c r="C7" s="14" t="s">
        <v>20</v>
      </c>
      <c r="D7" s="4" t="s">
        <v>21</v>
      </c>
      <c r="E7" s="7" t="s">
        <v>22</v>
      </c>
      <c r="F7" s="4" t="s">
        <v>15</v>
      </c>
      <c r="G7" s="4"/>
      <c r="H7" s="32"/>
    </row>
    <row r="8" customFormat="false" ht="30" hidden="false" customHeight="true" outlineLevel="0" collapsed="false">
      <c r="A8" s="31"/>
      <c r="B8" s="10" t="s">
        <v>23</v>
      </c>
      <c r="C8" s="15" t="s">
        <v>24</v>
      </c>
      <c r="D8" s="9" t="s">
        <v>13</v>
      </c>
      <c r="E8" s="12" t="s">
        <v>25</v>
      </c>
      <c r="F8" s="9" t="s">
        <v>18</v>
      </c>
      <c r="G8" s="9"/>
      <c r="H8" s="33"/>
    </row>
    <row r="9" customFormat="false" ht="30" hidden="false" customHeight="true" outlineLevel="0" collapsed="false">
      <c r="A9" s="31"/>
      <c r="B9" s="5" t="s">
        <v>31</v>
      </c>
      <c r="C9" s="15" t="s">
        <v>24</v>
      </c>
      <c r="D9" s="4" t="s">
        <v>13</v>
      </c>
      <c r="E9" s="7" t="s">
        <v>32</v>
      </c>
      <c r="F9" s="4" t="s">
        <v>18</v>
      </c>
      <c r="G9" s="4"/>
      <c r="H9" s="32"/>
    </row>
    <row r="10" customFormat="false" ht="30" hidden="false" customHeight="true" outlineLevel="0" collapsed="false">
      <c r="A10" s="31"/>
      <c r="B10" s="10" t="s">
        <v>33</v>
      </c>
      <c r="C10" s="17" t="s">
        <v>34</v>
      </c>
      <c r="D10" s="9" t="s">
        <v>28</v>
      </c>
      <c r="E10" s="12" t="s">
        <v>35</v>
      </c>
      <c r="F10" s="9" t="s">
        <v>36</v>
      </c>
      <c r="G10" s="9"/>
      <c r="H10" s="33"/>
    </row>
    <row r="11" customFormat="false" ht="30" hidden="false" customHeight="true" outlineLevel="0" collapsed="false">
      <c r="A11" s="31"/>
      <c r="B11" s="5" t="s">
        <v>33</v>
      </c>
      <c r="C11" s="15" t="s">
        <v>24</v>
      </c>
      <c r="D11" s="4" t="s">
        <v>28</v>
      </c>
      <c r="E11" s="7" t="s">
        <v>37</v>
      </c>
      <c r="F11" s="4" t="s">
        <v>15</v>
      </c>
      <c r="G11" s="4"/>
      <c r="H11" s="32"/>
    </row>
    <row r="12" customFormat="false" ht="30" hidden="false" customHeight="true" outlineLevel="0" collapsed="false">
      <c r="A12" s="31"/>
      <c r="B12" s="10" t="s">
        <v>33</v>
      </c>
      <c r="C12" s="18" t="s">
        <v>38</v>
      </c>
      <c r="D12" s="9" t="s">
        <v>28</v>
      </c>
      <c r="E12" s="12" t="s">
        <v>39</v>
      </c>
      <c r="F12" s="9" t="s">
        <v>36</v>
      </c>
      <c r="G12" s="9"/>
      <c r="H12" s="33"/>
    </row>
    <row r="13" customFormat="false" ht="30" hidden="false" customHeight="true" outlineLevel="0" collapsed="false">
      <c r="A13" s="31"/>
      <c r="B13" s="5" t="s">
        <v>33</v>
      </c>
      <c r="C13" s="14" t="s">
        <v>20</v>
      </c>
      <c r="D13" s="4" t="s">
        <v>28</v>
      </c>
      <c r="E13" s="7" t="s">
        <v>37</v>
      </c>
      <c r="F13" s="4" t="s">
        <v>15</v>
      </c>
      <c r="G13" s="4"/>
      <c r="H13" s="32"/>
    </row>
    <row r="14" customFormat="false" ht="30" hidden="false" customHeight="true" outlineLevel="0" collapsed="false">
      <c r="A14" s="31"/>
      <c r="B14" s="10" t="s">
        <v>33</v>
      </c>
      <c r="C14" s="11" t="s">
        <v>16</v>
      </c>
      <c r="D14" s="9" t="s">
        <v>28</v>
      </c>
      <c r="E14" s="12" t="s">
        <v>37</v>
      </c>
      <c r="F14" s="9" t="s">
        <v>15</v>
      </c>
      <c r="G14" s="9"/>
      <c r="H14" s="33"/>
    </row>
    <row r="15" customFormat="false" ht="30" hidden="false" customHeight="true" outlineLevel="0" collapsed="false">
      <c r="A15" s="31"/>
      <c r="B15" s="5" t="s">
        <v>40</v>
      </c>
      <c r="C15" s="14" t="s">
        <v>20</v>
      </c>
      <c r="D15" s="4" t="s">
        <v>13</v>
      </c>
      <c r="E15" s="7" t="s">
        <v>44</v>
      </c>
      <c r="F15" s="4" t="s">
        <v>15</v>
      </c>
      <c r="G15" s="4"/>
      <c r="H15" s="32"/>
    </row>
  </sheetData>
  <mergeCells count="2">
    <mergeCell ref="A1:H1"/>
    <mergeCell ref="A2:B2"/>
  </mergeCells>
  <conditionalFormatting sqref="A5:H15">
    <cfRule type="cellIs" priority="2" operator="equal" aboveAverage="0" equalAverage="0" bottom="0" percent="0" rank="0" text="" dxfId="12">
      <formula>"Done"</formula>
    </cfRule>
  </conditionalFormatting>
  <conditionalFormatting sqref="A5:A15">
    <cfRule type="cellIs" priority="3" operator="equal" aboveAverage="0" equalAverage="0" bottom="0" percent="0" rank="0" text="" dxfId="13">
      <formula>"In Progress"</formula>
    </cfRule>
  </conditionalFormatting>
  <dataValidations count="1">
    <dataValidation allowBlank="true" error="Please select Done, In Progress, or N/A" errorStyle="stop" errorTitle="Invalid Status" operator="between" prompt="Select status" promptTitle="Task Status" showDropDown="false" showErrorMessage="false" showInputMessage="false" sqref="A5:A15" type="list">
      <formula1>"Done,In Progress,N/A"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50"/>
    <col collapsed="false" customWidth="true" hidden="false" outlineLevel="0" max="8" min="6" style="0" width="16"/>
  </cols>
  <sheetData>
    <row r="1" customFormat="false" ht="36" hidden="false" customHeight="true" outlineLevel="0" collapsed="false">
      <c r="A1" s="1" t="s">
        <v>82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7" t="s">
        <v>65</v>
      </c>
      <c r="B2" s="27"/>
      <c r="C2" s="28" t="str">
        <f aca="false">COUNTIF(A5:A15,"Done") &amp; " / 11 complete"</f>
        <v>0 / 11 complete</v>
      </c>
      <c r="E2" s="29" t="n">
        <f aca="false">IF(11&gt;0,COUNTIF(A5:A15,"Done")/11,0)</f>
        <v>0</v>
      </c>
    </row>
    <row r="3" customFormat="false" ht="6" hidden="false" customHeight="true" outlineLevel="0" collapsed="false"/>
    <row r="4" customFormat="false" ht="15" hidden="false" customHeight="false" outlineLevel="0" collapsed="false">
      <c r="A4" s="30" t="s">
        <v>66</v>
      </c>
      <c r="B4" s="30" t="s">
        <v>67</v>
      </c>
      <c r="C4" s="30" t="s">
        <v>5</v>
      </c>
      <c r="D4" s="30" t="s">
        <v>68</v>
      </c>
      <c r="E4" s="30" t="s">
        <v>7</v>
      </c>
      <c r="F4" s="30" t="s">
        <v>69</v>
      </c>
      <c r="G4" s="30" t="s">
        <v>70</v>
      </c>
      <c r="H4" s="30" t="s">
        <v>71</v>
      </c>
    </row>
    <row r="5" customFormat="false" ht="30" hidden="false" customHeight="true" outlineLevel="0" collapsed="false">
      <c r="A5" s="31"/>
      <c r="B5" s="5" t="s">
        <v>10</v>
      </c>
      <c r="C5" s="6" t="s">
        <v>12</v>
      </c>
      <c r="D5" s="4" t="s">
        <v>13</v>
      </c>
      <c r="E5" s="7" t="s">
        <v>14</v>
      </c>
      <c r="F5" s="4" t="s">
        <v>15</v>
      </c>
      <c r="G5" s="4"/>
      <c r="H5" s="32"/>
    </row>
    <row r="6" customFormat="false" ht="30" hidden="false" customHeight="true" outlineLevel="0" collapsed="false">
      <c r="A6" s="31"/>
      <c r="B6" s="10" t="s">
        <v>10</v>
      </c>
      <c r="C6" s="11" t="s">
        <v>16</v>
      </c>
      <c r="D6" s="9" t="s">
        <v>13</v>
      </c>
      <c r="E6" s="12" t="s">
        <v>17</v>
      </c>
      <c r="F6" s="9" t="s">
        <v>18</v>
      </c>
      <c r="G6" s="9"/>
      <c r="H6" s="33"/>
    </row>
    <row r="7" customFormat="false" ht="30" hidden="false" customHeight="true" outlineLevel="0" collapsed="false">
      <c r="A7" s="31"/>
      <c r="B7" s="5" t="s">
        <v>19</v>
      </c>
      <c r="C7" s="14" t="s">
        <v>20</v>
      </c>
      <c r="D7" s="4" t="s">
        <v>21</v>
      </c>
      <c r="E7" s="7" t="s">
        <v>22</v>
      </c>
      <c r="F7" s="4" t="s">
        <v>15</v>
      </c>
      <c r="G7" s="4"/>
      <c r="H7" s="32"/>
    </row>
    <row r="8" customFormat="false" ht="30" hidden="false" customHeight="true" outlineLevel="0" collapsed="false">
      <c r="A8" s="31"/>
      <c r="B8" s="10" t="s">
        <v>23</v>
      </c>
      <c r="C8" s="15" t="s">
        <v>24</v>
      </c>
      <c r="D8" s="9" t="s">
        <v>13</v>
      </c>
      <c r="E8" s="12" t="s">
        <v>25</v>
      </c>
      <c r="F8" s="9" t="s">
        <v>18</v>
      </c>
      <c r="G8" s="9"/>
      <c r="H8" s="33"/>
    </row>
    <row r="9" customFormat="false" ht="30" hidden="false" customHeight="true" outlineLevel="0" collapsed="false">
      <c r="A9" s="31"/>
      <c r="B9" s="5" t="s">
        <v>31</v>
      </c>
      <c r="C9" s="15" t="s">
        <v>24</v>
      </c>
      <c r="D9" s="4" t="s">
        <v>13</v>
      </c>
      <c r="E9" s="7" t="s">
        <v>32</v>
      </c>
      <c r="F9" s="4" t="s">
        <v>18</v>
      </c>
      <c r="G9" s="4"/>
      <c r="H9" s="32"/>
    </row>
    <row r="10" customFormat="false" ht="30" hidden="false" customHeight="true" outlineLevel="0" collapsed="false">
      <c r="A10" s="31"/>
      <c r="B10" s="10" t="s">
        <v>33</v>
      </c>
      <c r="C10" s="17" t="s">
        <v>34</v>
      </c>
      <c r="D10" s="9" t="s">
        <v>28</v>
      </c>
      <c r="E10" s="12" t="s">
        <v>35</v>
      </c>
      <c r="F10" s="9" t="s">
        <v>36</v>
      </c>
      <c r="G10" s="9"/>
      <c r="H10" s="33"/>
    </row>
    <row r="11" customFormat="false" ht="30" hidden="false" customHeight="true" outlineLevel="0" collapsed="false">
      <c r="A11" s="31"/>
      <c r="B11" s="5" t="s">
        <v>33</v>
      </c>
      <c r="C11" s="15" t="s">
        <v>24</v>
      </c>
      <c r="D11" s="4" t="s">
        <v>28</v>
      </c>
      <c r="E11" s="7" t="s">
        <v>37</v>
      </c>
      <c r="F11" s="4" t="s">
        <v>15</v>
      </c>
      <c r="G11" s="4"/>
      <c r="H11" s="32"/>
    </row>
    <row r="12" customFormat="false" ht="30" hidden="false" customHeight="true" outlineLevel="0" collapsed="false">
      <c r="A12" s="31"/>
      <c r="B12" s="10" t="s">
        <v>33</v>
      </c>
      <c r="C12" s="18" t="s">
        <v>38</v>
      </c>
      <c r="D12" s="9" t="s">
        <v>28</v>
      </c>
      <c r="E12" s="12" t="s">
        <v>39</v>
      </c>
      <c r="F12" s="9" t="s">
        <v>36</v>
      </c>
      <c r="G12" s="9"/>
      <c r="H12" s="33"/>
    </row>
    <row r="13" customFormat="false" ht="30" hidden="false" customHeight="true" outlineLevel="0" collapsed="false">
      <c r="A13" s="31"/>
      <c r="B13" s="5" t="s">
        <v>33</v>
      </c>
      <c r="C13" s="14" t="s">
        <v>20</v>
      </c>
      <c r="D13" s="4" t="s">
        <v>28</v>
      </c>
      <c r="E13" s="7" t="s">
        <v>37</v>
      </c>
      <c r="F13" s="4" t="s">
        <v>15</v>
      </c>
      <c r="G13" s="4"/>
      <c r="H13" s="32"/>
    </row>
    <row r="14" customFormat="false" ht="30" hidden="false" customHeight="true" outlineLevel="0" collapsed="false">
      <c r="A14" s="31"/>
      <c r="B14" s="10" t="s">
        <v>33</v>
      </c>
      <c r="C14" s="11" t="s">
        <v>16</v>
      </c>
      <c r="D14" s="9" t="s">
        <v>28</v>
      </c>
      <c r="E14" s="12" t="s">
        <v>37</v>
      </c>
      <c r="F14" s="9" t="s">
        <v>15</v>
      </c>
      <c r="G14" s="9"/>
      <c r="H14" s="33"/>
    </row>
    <row r="15" customFormat="false" ht="30" hidden="false" customHeight="true" outlineLevel="0" collapsed="false">
      <c r="A15" s="31"/>
      <c r="B15" s="5" t="s">
        <v>40</v>
      </c>
      <c r="C15" s="14" t="s">
        <v>20</v>
      </c>
      <c r="D15" s="4" t="s">
        <v>13</v>
      </c>
      <c r="E15" s="7" t="s">
        <v>44</v>
      </c>
      <c r="F15" s="4" t="s">
        <v>15</v>
      </c>
      <c r="G15" s="4"/>
      <c r="H15" s="32"/>
    </row>
  </sheetData>
  <mergeCells count="2">
    <mergeCell ref="A1:H1"/>
    <mergeCell ref="A2:B2"/>
  </mergeCells>
  <conditionalFormatting sqref="A5:H15">
    <cfRule type="cellIs" priority="2" operator="equal" aboveAverage="0" equalAverage="0" bottom="0" percent="0" rank="0" text="" dxfId="12">
      <formula>"Done"</formula>
    </cfRule>
  </conditionalFormatting>
  <conditionalFormatting sqref="A5:A15">
    <cfRule type="cellIs" priority="3" operator="equal" aboveAverage="0" equalAverage="0" bottom="0" percent="0" rank="0" text="" dxfId="13">
      <formula>"In Progress"</formula>
    </cfRule>
  </conditionalFormatting>
  <dataValidations count="1">
    <dataValidation allowBlank="true" error="Please select Done, In Progress, or N/A" errorStyle="stop" errorTitle="Invalid Status" operator="between" prompt="Select status" promptTitle="Task Status" showDropDown="false" showErrorMessage="false" showInputMessage="false" sqref="A5:A15" type="list">
      <formula1>"Done,In Progress,N/A"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2026-03-24T19:06:37Z</dcterms:created>
  <dc:creator>openpyxl</dc:creator>
  <dc:description/>
  <dc:language>en-US</dc:language>
  <cp:lastModifiedBy/>
  <dcterms:modified xsi:type="dcterms:W3CDTF">2026-03-24T19:06:37Z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